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am\Desktop\Pháp lý dự án\"/>
    </mc:Choice>
  </mc:AlternateContent>
  <xr:revisionPtr revIDLastSave="0" documentId="8_{1994FCEF-51B8-428C-AEAC-AA36DA633FD9}" xr6:coauthVersionLast="47" xr6:coauthVersionMax="47" xr10:uidLastSave="{00000000-0000-0000-0000-000000000000}"/>
  <bookViews>
    <workbookView xWindow="-108" yWindow="-108" windowWidth="23256" windowHeight="12456" xr2:uid="{00000000-000D-0000-FFFF-FFFF00000000}"/>
  </bookViews>
  <sheets>
    <sheet name="GPMB" sheetId="1" r:id="rId1"/>
    <sheet name="DTXD" sheetId="2" r:id="rId2"/>
  </sheets>
  <calcPr calcId="181029"/>
</workbook>
</file>

<file path=xl/calcChain.xml><?xml version="1.0" encoding="utf-8"?>
<calcChain xmlns="http://schemas.openxmlformats.org/spreadsheetml/2006/main">
  <c r="G48" i="1" l="1"/>
  <c r="G42" i="1"/>
  <c r="H40" i="1"/>
  <c r="F41" i="1" s="1"/>
  <c r="H41" i="1" s="1"/>
  <c r="F43" i="1" s="1"/>
  <c r="H43" i="1" s="1"/>
  <c r="G39" i="1"/>
  <c r="G36" i="1"/>
  <c r="G27" i="1"/>
  <c r="G24" i="1"/>
  <c r="G16" i="1"/>
  <c r="G12" i="1"/>
  <c r="G7" i="1"/>
  <c r="G4" i="1"/>
  <c r="G89" i="2"/>
  <c r="G85" i="2"/>
  <c r="G80" i="2"/>
  <c r="G77" i="2"/>
  <c r="G71" i="2"/>
  <c r="H67" i="2"/>
  <c r="F68" i="2" s="1"/>
  <c r="H68" i="2" s="1"/>
  <c r="F67" i="2"/>
  <c r="G65" i="2"/>
  <c r="G60" i="2"/>
  <c r="H56" i="2"/>
  <c r="G48" i="2"/>
  <c r="H47" i="2"/>
  <c r="H46" i="2"/>
  <c r="H45" i="2"/>
  <c r="H44" i="2"/>
  <c r="H43" i="2"/>
  <c r="G37" i="2"/>
  <c r="G17" i="2"/>
  <c r="H14" i="2"/>
  <c r="F15" i="2" s="1"/>
  <c r="H15" i="2" s="1"/>
  <c r="F16" i="2" s="1"/>
  <c r="H16" i="2" s="1"/>
  <c r="F34" i="2" s="1"/>
  <c r="H34" i="2" s="1"/>
  <c r="F36" i="2" s="1"/>
  <c r="H36" i="2" s="1"/>
  <c r="G13" i="2"/>
  <c r="G8" i="2"/>
  <c r="G4" i="2"/>
  <c r="F49" i="1" l="1"/>
  <c r="H49" i="1" s="1"/>
  <c r="F50" i="1" s="1"/>
  <c r="H50" i="1" s="1"/>
  <c r="F51" i="1" s="1"/>
  <c r="H51" i="1" s="1"/>
  <c r="F52" i="1" s="1"/>
  <c r="H52" i="1" s="1"/>
  <c r="F53" i="1" s="1"/>
  <c r="H53" i="1" s="1"/>
  <c r="F54" i="1" s="1"/>
  <c r="H54" i="1" s="1"/>
  <c r="F55" i="1" s="1"/>
  <c r="H55" i="1" s="1"/>
  <c r="F56" i="1" s="1"/>
  <c r="H56" i="1" s="1"/>
  <c r="F57" i="1" s="1"/>
  <c r="H57" i="1" s="1"/>
  <c r="F58" i="1" s="1"/>
  <c r="H58" i="1" s="1"/>
  <c r="F46" i="1"/>
  <c r="H46" i="1" s="1"/>
  <c r="F72" i="2"/>
  <c r="H72" i="2" s="1"/>
  <c r="F73" i="2" s="1"/>
  <c r="H73" i="2" s="1"/>
  <c r="F74" i="2" s="1"/>
  <c r="H74" i="2" s="1"/>
  <c r="F76" i="2" s="1"/>
  <c r="H76" i="2" s="1"/>
  <c r="F69" i="2"/>
  <c r="H69" i="2" s="1"/>
  <c r="F70" i="2" s="1"/>
  <c r="H70" i="2" s="1"/>
  <c r="F61" i="1" l="1"/>
  <c r="H61" i="1" s="1"/>
  <c r="F59" i="1"/>
  <c r="H59" i="1" s="1"/>
</calcChain>
</file>

<file path=xl/sharedStrings.xml><?xml version="1.0" encoding="utf-8"?>
<sst xmlns="http://schemas.openxmlformats.org/spreadsheetml/2006/main" count="427" uniqueCount="313">
  <si>
    <t>STT</t>
  </si>
  <si>
    <t>Trình tự công việc</t>
  </si>
  <si>
    <t>Danh mục hồ sơ</t>
  </si>
  <si>
    <t>Ghi chú</t>
  </si>
  <si>
    <t>Dự kiến bắt đầu</t>
  </si>
  <si>
    <t>Tiến độ (ngày)</t>
  </si>
  <si>
    <t>Dự kiến hoàn thành</t>
  </si>
  <si>
    <t>Tình trạng</t>
  </si>
  <si>
    <t>I</t>
  </si>
  <si>
    <t>Bồi thường, hỗ trợ, tái định cư, thu hồi đất</t>
  </si>
  <si>
    <t>Luật đất đai 2024, Nghị định 151/2025</t>
  </si>
  <si>
    <t>I.1</t>
  </si>
  <si>
    <t>Lựa chọn tổ chức thực hiện nhiệm vụ bồi thường, hỗ trợ, tái định cư</t>
  </si>
  <si>
    <t>Đề nghị thực hiện công tác thu hồi đất</t>
  </si>
  <si>
    <t xml:space="preserve"> - VB của CĐT gửi UBND xã đề nghị thực hiện công tác thu hồi đất
 - VB giao nhiệm vụ bồi thường, hỗ trợ, tái định cư của UBND xã cho đơn vị tư vấn (Ban QLDA, TTPT quỹ đất…)
 - Biên bản thẩm định dự toán chi phí tổ chức thực hiện BTHT của phòng Tài chính xã
 - QĐ phê duyệt dự toán chi phí tổ chức thực hiện BTHT của UBND xã</t>
  </si>
  <si>
    <t>Hoàn thành</t>
  </si>
  <si>
    <t>Ký hợp đồng với tổ chức thực hiện nhiệm vụ BTHT</t>
  </si>
  <si>
    <t xml:space="preserve"> - Hợp đồng với tổ chức thực hiện nhiệm vụ BTHT
 - QĐ thành lập hội đồng BTHT (nếu có)</t>
  </si>
  <si>
    <t>I.2</t>
  </si>
  <si>
    <t>Xây dựng kế hoạch thu hồi đất</t>
  </si>
  <si>
    <t>Dự thảo kế hoạch</t>
  </si>
  <si>
    <t xml:space="preserve"> - Đơn vị tư vấn lập dự thảo Kế hoạch thu hồi đất trình UBND xã</t>
  </si>
  <si>
    <t>Phê duyệt kế hoạch thu hồi đất</t>
  </si>
  <si>
    <t xml:space="preserve"> - UBND xã phê duyệt kế hoạch thu hồi đất</t>
  </si>
  <si>
    <t>I.3</t>
  </si>
  <si>
    <t>Tổ chức họp với người có đất trong khu vực thu hồi</t>
  </si>
  <si>
    <t xml:space="preserve"> - Giấy mời họp của UBND xã
 - Biên bản hội nghị</t>
  </si>
  <si>
    <t>I.4</t>
  </si>
  <si>
    <t>Thông báo thu hồi đất</t>
  </si>
  <si>
    <t>Ban hành thông báo thu hồi đất</t>
  </si>
  <si>
    <t xml:space="preserve"> - Thông báo thu hồi đất của UBND xã</t>
  </si>
  <si>
    <t>Gửi thông báo thu hồi đất đến từng người có đất thu hồi, chủ sở hữu tài sản gắn liền với đất</t>
  </si>
  <si>
    <t>Niêm yết thông báo thu hồi đất và danh sách người có đất thu hồi trên địa bàn</t>
  </si>
  <si>
    <t xml:space="preserve"> - Biên bản niêm yết
 - Ảnh chụp niêm yết</t>
  </si>
  <si>
    <t>I.5</t>
  </si>
  <si>
    <t>Điều tra, khảo sát, đo đạc, kiểm đếm</t>
  </si>
  <si>
    <t>tiến độ tạm tính do phụ thuộc vào số lượng hộ dân, tình hình phức tạp riêng của từng dự án</t>
  </si>
  <si>
    <t>Đo đạc</t>
  </si>
  <si>
    <t xml:space="preserve"> - Trích lục bản đồ địa chính khu đất
 - Trích đo bản đồ khu đất (nếu khu vực đó chưa lập bản đồ)</t>
  </si>
  <si>
    <t>Điều tra, khảo sát</t>
  </si>
  <si>
    <t xml:space="preserve"> - Biên bản điều tra, khảo sát từng hộ
 - GCN quyền sử dụng đất từng hộ photo (nếu có)
 - Trang sổ địa chính từng hộ photo (nếu có)
 - Phiếu xác nhận kết quả đo từng thửa
 - Biên bản làm việc xác định diện tích (các hộ chung thửa)
 - Đơn đề nghị bồi thường, hỗ trợ khi thu hồi đất
 - Đơn đề nghị thu hồi đất khó canh tác (nếu có)
 - CCCD photo</t>
  </si>
  <si>
    <t>Đã hoàn thành phần đất, còn phần tài sản mồ mả</t>
  </si>
  <si>
    <t>Kiểm đếm</t>
  </si>
  <si>
    <t xml:space="preserve"> - Biên bản kiểm kê, kiểm đếm và đo đạc tài sản trên đất
 - Dự toán tài sản trên đất (nếu không có trong bản giá BTHT)</t>
  </si>
  <si>
    <t>Tổng hợp</t>
  </si>
  <si>
    <t xml:space="preserve"> - Bảng thống kê chi tiết diện tích thu hồi</t>
  </si>
  <si>
    <t>Kiểm đếm bắt buộc</t>
  </si>
  <si>
    <t xml:space="preserve"> - QĐ thành lập tổ vận động
 - Biên bản vận động
 - QĐ kiểm đếm bắt buộc
 - QĐ cưỡng chế thực hiện QĐ kiểm đếm bắt buộc</t>
  </si>
  <si>
    <t>Không thực hiện</t>
  </si>
  <si>
    <t>I.6</t>
  </si>
  <si>
    <t>Lập dự thảo phương án bồi thường, hỗ trợ, tái định cư</t>
  </si>
  <si>
    <t>Đơn vị tư vấn Lập dự thảo phương án bồi thường, hỗ trợ, tái định cư</t>
  </si>
  <si>
    <t xml:space="preserve"> - Dự thảo phương án bồi thường, hỗ trợ, tái định cư
 - Dự thảo bảng tổng hợp danh sách BTHT</t>
  </si>
  <si>
    <t>Hoàn thành phương án đợt 1</t>
  </si>
  <si>
    <t>I.7</t>
  </si>
  <si>
    <t>Niêm yết công khai dự thảo phương án bồi thường, hỗ trợ, tái định cư</t>
  </si>
  <si>
    <t>UBND xã thông báo công khai dự thảo PA bồi thường, hỗ trợ GPMB để lấy ý kiến</t>
  </si>
  <si>
    <t xml:space="preserve"> - VB thông báo công khai dự thảo PA của UBND xã</t>
  </si>
  <si>
    <t xml:space="preserve"> - Biên bản bắt đầu niêm yết
 - Biên bản kết thúc niêm yết</t>
  </si>
  <si>
    <t>I.8</t>
  </si>
  <si>
    <t>Lấy ý kiến về phương án bồi thường, hỗ trợ, tái định cư</t>
  </si>
  <si>
    <t>Tổ chức họp lấy ý kiến</t>
  </si>
  <si>
    <t xml:space="preserve"> - Giấy mời họp của UBND xã
 - Biên bản hội nghị họp lấy ý kiến về phương án BTHT</t>
  </si>
  <si>
    <t>Giải trình, tổ chức đối thoại nếu còn ý kiến không đồng ý</t>
  </si>
  <si>
    <t xml:space="preserve"> - Biên bản họp giải trình, đối thoại</t>
  </si>
  <si>
    <t>I.9</t>
  </si>
  <si>
    <t>Hoàn thiện phương án BTHT</t>
  </si>
  <si>
    <t>Đơn vị tư vấn hoàn thiện phương án BTHT</t>
  </si>
  <si>
    <t xml:space="preserve"> - Dự thảo phương án bồi thường, hỗ trợ, tái định cư
 - Dự thảo bảng tổng hợp danh sách BTHT
 - Dự thảo QĐ phê duyệt phương án BTHT</t>
  </si>
  <si>
    <t>I.10</t>
  </si>
  <si>
    <t>Thẩm định phương án bồi thường, hỗ trợ, tái định cư</t>
  </si>
  <si>
    <t>Phòng Kinh tế xã tổ chức thẩm định phương án BTHT</t>
  </si>
  <si>
    <t xml:space="preserve"> - Giấy mời họp thẩm định
 - Biên bản họp hội đồng thẩm định
 - Báo cáo kết quả thẩm định trình UBND xã</t>
  </si>
  <si>
    <t>I.11</t>
  </si>
  <si>
    <t>Phê duyệt phương án bồi thường, hỗ trợ, tái định cư</t>
  </si>
  <si>
    <t xml:space="preserve"> - QĐ phê duyệt phương án BTHT của UBND xã (tổng thể)
 - QĐ phê duyệt phương án BTHT của UBND xã (chi tiết từng hộ)</t>
  </si>
  <si>
    <t>I.12</t>
  </si>
  <si>
    <t>Phổ biến, niêm yết công khai quyết định phê duyệt phương án bồi thường, hỗ trợ, tái định cư</t>
  </si>
  <si>
    <t>Niêm yết công khai</t>
  </si>
  <si>
    <t xml:space="preserve"> - Biên bản niêm yết công khai QĐ phê duyệt phương án
 - Ảnh chụp niêm yết</t>
  </si>
  <si>
    <t xml:space="preserve">Gửi phương án </t>
  </si>
  <si>
    <t xml:space="preserve"> - Danh sách tổng hợp các hộ dân nhận QĐ phê duyệt phương án (ký nhận đầy đủ)</t>
  </si>
  <si>
    <t>I.13</t>
  </si>
  <si>
    <t>Thực hiện bồi thường, hỗ trợ</t>
  </si>
  <si>
    <t>Thông báo chi trả tiền BTHT</t>
  </si>
  <si>
    <t xml:space="preserve"> - Giấy mời + thông báo chi trả tiền BTHT</t>
  </si>
  <si>
    <t>Chi trả tiền BTHT</t>
  </si>
  <si>
    <t xml:space="preserve"> - Phiếu chi
 - Ủy quyền nhận tiền (nếu có)
 - Danh sách tổng hợp nhận tiền BTHT
 - CCCD photo của người nhận tiền
 - Ảnh chụp nhận tiền</t>
  </si>
  <si>
    <t>Đã chi trả hết các hộ có đất lâu dài, còn phải chi trả một số hộ đất công ích chưa nhận tiền</t>
  </si>
  <si>
    <t>I.14</t>
  </si>
  <si>
    <t>QĐ thu hồi đất</t>
  </si>
  <si>
    <t>UBND xã ban hành QĐ thu hồi đất</t>
  </si>
  <si>
    <t xml:space="preserve"> - QĐ thu hồi đất (từng hộ)</t>
  </si>
  <si>
    <t>Cưỡng chế thu hồi đất</t>
  </si>
  <si>
    <t xml:space="preserve"> - QĐ thành lập Ban cưỡng chế thu hồi đất
 - Biên bản vận động
 - QĐ cưỡng chế thực hiện QĐ thu hồi đất</t>
  </si>
  <si>
    <t>I.15</t>
  </si>
  <si>
    <t>Xác nhận kinh phí đã thực hiện bồi thường, hỗ trợ GPMB khi thu hồi đất</t>
  </si>
  <si>
    <t xml:space="preserve"> - Tờ trình của CĐT xin xác nhận kinh phí
 - VB của UBND xã xác nhận kinh phí BTHT</t>
  </si>
  <si>
    <t>II</t>
  </si>
  <si>
    <t>Giao đất</t>
  </si>
  <si>
    <t>II.1</t>
  </si>
  <si>
    <t>Thẩm định, phê duyệt giao đất</t>
  </si>
  <si>
    <t>Xác nhận đất sạch</t>
  </si>
  <si>
    <t xml:space="preserve"> - VB xác nhận đất sạch có xác nhận của thôn, xã</t>
  </si>
  <si>
    <t>Chuẩn bị hồ sơ đề nghị giao đất</t>
  </si>
  <si>
    <t xml:space="preserve"> - Đơn xin giao đất theo Mẫu số 01 ban hành kèm theo Nghị định 151/2025
 - VB đề nghị giao đất của UBND xã</t>
  </si>
  <si>
    <t>Lập trích đo/trích lục địa chính thửa đất</t>
  </si>
  <si>
    <t xml:space="preserve"> - Trích lục bản đồ địa chính khu đất do VP DKDD lập
 - Trích đo địa chính khu đất nếu chưa có bản đồ</t>
  </si>
  <si>
    <t>Thẩm định hồ sơ giao đất</t>
  </si>
  <si>
    <t xml:space="preserve"> - Tờ trình theo Mẫu số 25 Nghị định 151/2025
 - Dự thảo QĐ giao đất theo mẫu số 06 NĐ 151/2025</t>
  </si>
  <si>
    <t>Phê duyệt giao đất</t>
  </si>
  <si>
    <t xml:space="preserve"> - QĐ giao đất của UBND tỉnh</t>
  </si>
  <si>
    <t>Chuyển thông tin địa chính thửa đất cho cơ quan thuế</t>
  </si>
  <si>
    <t xml:space="preserve"> - Phiếu chuyển thông tin theo Mẫu số 19 NĐ 151/2025</t>
  </si>
  <si>
    <t>Xác định tiền sử dụng đất, tiền thuê đất phải nộp</t>
  </si>
  <si>
    <t xml:space="preserve"> - Thông báo nộp tiền sử dụng đất/tiền thuê đất gửi cho người sử dụng đất</t>
  </si>
  <si>
    <t>Người sử dụng đất nộp tiền sử dụng đất/tiền thuê đất</t>
  </si>
  <si>
    <t xml:space="preserve"> - Giấy xác nhận nộp tiền vào ngân sách</t>
  </si>
  <si>
    <t>Xác nhận hoàn thành việc nộp tiền sử dụng đất/tiền thuê đất</t>
  </si>
  <si>
    <t xml:space="preserve"> - Thông báo xác nhận hoàn thành việc nộp tiền gửi Sở NNMT</t>
  </si>
  <si>
    <t>Ký hợp đồng thuê đất</t>
  </si>
  <si>
    <t xml:space="preserve"> - Hợp đồng thuê đất</t>
  </si>
  <si>
    <t>Cấp Giấy chứng nhận</t>
  </si>
  <si>
    <t xml:space="preserve"> - Giấy chứng nhận quyền sử dụng đất</t>
  </si>
  <si>
    <t>II.2</t>
  </si>
  <si>
    <t>Giao đất thực địa</t>
  </si>
  <si>
    <t>Tổ chức bàn giao đất ngoài thực địa</t>
  </si>
  <si>
    <t xml:space="preserve"> - Biên bản bàn giao đất ngoài thực địa</t>
  </si>
  <si>
    <t>Chuẩn bị dự án</t>
  </si>
  <si>
    <t>Khảo sát địa điểm</t>
  </si>
  <si>
    <t xml:space="preserve">Đề nghị khảo sát địa điềm lập quy hoạch, dự án ĐTXD </t>
  </si>
  <si>
    <t xml:space="preserve"> - Tờ trình Đề nghị khảo sát địa điềm lập quy hoạch, dự án ĐTXD của nhà đầu tư.
 - Bản vẽ ranh giới đề nghị khảo sát</t>
  </si>
  <si>
    <t>Lấy ý kiến tham gia về khảo sát địa điểm lập quy hoạch, dự án ĐTXD của các cơ quan</t>
  </si>
  <si>
    <t xml:space="preserve"> - Công văn Tham gia ý kiến về khảo sát địa điểm lập quy hoạch, dự án ĐTXD của UBND xã
 - Công văn Tham gia ý kiến về khảo sát địa điểm lập quy hoạch, dự án ĐTXD của các Sở</t>
  </si>
  <si>
    <t xml:space="preserve">Chấp thuận khảo sát địa điềm lập quy hoạch, dự án ĐTXD </t>
  </si>
  <si>
    <t xml:space="preserve"> - Công văn Chấp thuận khảo sát địa điềm lập quy hoạch, dự án ĐTXD của UBND tỉnh</t>
  </si>
  <si>
    <t>Khảo sát địa hình</t>
  </si>
  <si>
    <t>Nghị định 217/2026/NĐ-CP</t>
  </si>
  <si>
    <t>Lập, phê duyệt nhiệm vụ khảo sát xây dựng.</t>
  </si>
  <si>
    <t xml:space="preserve"> - Hồ sơ năng lực của đơn vị thực hiện 
 - Hợp đồng khảo sát
 - Nhiệm vụ khảo sát địa hình
 - QĐ phê duyệt nhiệm vụ của CĐT</t>
  </si>
  <si>
    <t>Phê duyệt bằng văn bản hoặc phê duyệt trực tiếp trên tờ bìa lót</t>
  </si>
  <si>
    <t>Lập, phê duyệt phương án kỹ thuật khảo sát xây dựng.</t>
  </si>
  <si>
    <t xml:space="preserve"> - Phương án kỹ thuật khảo sát địa hình
 - QĐ phê duyệt phương án kỹ thuật của CĐT</t>
  </si>
  <si>
    <t>Thực hiện khảo sát xây dựng.</t>
  </si>
  <si>
    <t xml:space="preserve"> - Nhật ký khảo sát, các biên bản kèm theo (nếu có)</t>
  </si>
  <si>
    <t>Nghiệm thu, phê duyệt kết quả khảo sát xây dựng.</t>
  </si>
  <si>
    <t xml:space="preserve"> - Báo cáo kết quả khảo sát địa hình
 - Biên bản nghiệm thu công việc khảo sát
 - QĐ phê duyệt kết quả khảo sát của CĐT</t>
  </si>
  <si>
    <t>Báo cáo đề xuất chủ trương đầu tư</t>
  </si>
  <si>
    <t>Nghị định 192/2025/NĐ-CP</t>
  </si>
  <si>
    <t>Lập hồ sơ đề xuất chủ trương đầu tư</t>
  </si>
  <si>
    <t xml:space="preserve"> - VB đề nghị chấp thuận chủ trương đầu tư đồng thời giao chủ đầu tư
 - Đề xuất dự án
 - Sơ bộ tổng mức đầu tư
 - Báo cáo tài chính được kiểm toán, cam kết của ngân hàng cung cấp tín dụng thực hiện dự án
 - Các văn bản, tài liệu chứng minh việc đáp ứng các điều kiện giao chủ đầu tư theo quy định</t>
  </si>
  <si>
    <t>Thẩm định chủ trương đầu tư</t>
  </si>
  <si>
    <t xml:space="preserve"> - Các VB tham gia ý kiến về thẩm định chủ trương đầu tư của các UB xã, Sở ban ngành.
 - Báo cáo thẩm định chủ trương đầu tư của Sở Xây dựng</t>
  </si>
  <si>
    <t>Phê duyệt chủ trương đầu tư đồng thời giao chủ đầu tư</t>
  </si>
  <si>
    <t xml:space="preserve"> - QĐ Phê duyệt chủ trương đầu tư đồng thời giao chủ đầu tư của UBND tỉnh</t>
  </si>
  <si>
    <t>Lập, thẩm định, phê duyệt quy hoạch làm căn cứ lập dự án</t>
  </si>
  <si>
    <t>NOXH không phải lập nhiệm vụ quy hoạch theo Nghị định 192/2025/NĐ-CP</t>
  </si>
  <si>
    <t>Xin cấp thông tin quy hoạch</t>
  </si>
  <si>
    <t xml:space="preserve"> - Đơn xin cấp thông tin quy hoạch</t>
  </si>
  <si>
    <t>Cung cấp thông tin quy hoạch</t>
  </si>
  <si>
    <t xml:space="preserve"> - VB Cung cấp thông tin quy hoạch của SXD</t>
  </si>
  <si>
    <t>Lập hồ sơ quy hoạch phục vụ lấy ý kiến</t>
  </si>
  <si>
    <t xml:space="preserve"> - Thuyết minh QHCT
 - Bản vẽ quy hoạch phục vụ lấy ý kiến</t>
  </si>
  <si>
    <t>Thông tư 16/2025/TT-BXD</t>
  </si>
  <si>
    <t>Niêm yết, trưng bày tại nơi công cộng để tiếp nhận ý kiến của người dân</t>
  </si>
  <si>
    <t xml:space="preserve"> - VB thông báo niêm yết công khai quy hoạch lấy ý kiến của UB xã
 - VB kế hoạch niêm yết công khai QH của UB xã
 - Biên bản bắt đầu niêm yết
 - Biên bản kết thúc niêm yết</t>
  </si>
  <si>
    <t>Lấy ý kiến của người dân bằng văn bản</t>
  </si>
  <si>
    <t xml:space="preserve"> - Phiếu lấy ý kiến cho từng hộ dân có đất trong ranh giới dự án</t>
  </si>
  <si>
    <t>Họp lấy ý kiến vào đồ án QH</t>
  </si>
  <si>
    <t xml:space="preserve"> - Biên bản họp lấy ý kiến vào đồ án QHCT (có đủ các cơ quan, đoàn thể UB xã, thôn….)</t>
  </si>
  <si>
    <t>Lấy ý kiến cơ quan chức năng</t>
  </si>
  <si>
    <t xml:space="preserve"> - VB tham gia ý kiến vào đồ án QHCT của các Sở Xây dựng, Tài chính, NNMT…</t>
  </si>
  <si>
    <t>Hoàn thiện đồ án QHCT 1/500</t>
  </si>
  <si>
    <t xml:space="preserve"> - Thuyết minh QHCT
 - Bản vẽ quy hoạch 
 - Quy định quản lý QHCT</t>
  </si>
  <si>
    <t>Thẩm định đồ án QHCT</t>
  </si>
  <si>
    <t xml:space="preserve"> - Biên bản hội nghị thẩm định
 - Báo cáo thẩm định của Phòng Kinh tế xã</t>
  </si>
  <si>
    <t>Phê duyệt đồ án QHCT</t>
  </si>
  <si>
    <t xml:space="preserve"> - QĐ phê duyệt QHCT của UBND xã</t>
  </si>
  <si>
    <t>Nếu dự án thuộc địa phận 2 xã thì thẩm quyền phê duyệt của UBND cấp tỉnh</t>
  </si>
  <si>
    <t>Công bố đồ án QHCT được duyệt</t>
  </si>
  <si>
    <t xml:space="preserve"> - Công văn đề nghị công khai QHCT của CĐT 
 - Công khai trên cổng thông tin điện tử
 - Biên bản công khai</t>
  </si>
  <si>
    <t>Lập hồ sơ Cắm mốc quy hoạch</t>
  </si>
  <si>
    <t xml:space="preserve"> - Thuyết minh
 - Bản vẽ
 - Dự toán kinh phí thực hiện
 - Hồ sơ pháp nhân của đơn vị chuyên môn về đo đạc
 - Bản đồ được lựa chọn lập hồ sơ, thực hiện cắm mốc
 - Tờ trình thẩm định, phê duyệt hồ sơ cắm mốc
 - Dự thảo quyết định phê duyệt hồ sơ cắm mốc</t>
  </si>
  <si>
    <t>Thẩm định hồ sơ cắm mốc quy hoạch</t>
  </si>
  <si>
    <t xml:space="preserve"> - Báo cáo thẩm định hồ sơ cắm mốc của phòng Kinh tế xã</t>
  </si>
  <si>
    <t>Phê duyệt hồ sơ cắm mốc quy hoạch</t>
  </si>
  <si>
    <t xml:space="preserve"> - Quyết định phê duyệt hồ sơ cắm mốc của UBND xã</t>
  </si>
  <si>
    <t>Cắm mốc ngoài thực địa</t>
  </si>
  <si>
    <t xml:space="preserve"> - Biên bản nghiệm thu cắm mốc ngoài thực địa</t>
  </si>
  <si>
    <t>Thủ tục về môi trường</t>
  </si>
  <si>
    <t>Dự án NOXH không phải làm ĐTM và Giấy phép môi trường theo Nghị Quyết 66.19/2026/NQ-CP</t>
  </si>
  <si>
    <t>Đăng ký môi trường cấp tỉnh</t>
  </si>
  <si>
    <t xml:space="preserve"> - Văn bản đăng ký môi trường của chủ dự án đầu tư theo quy định tại Mẫu số 47 Phụ lục II thông tư 07/2025/TT-BTNMT</t>
  </si>
  <si>
    <t>TH phát sinh nước thải xả ra môi trường  &gt; 50 m3/ngày hoặc phát sinh bụi, khí thải xả ra môi trường &gt; 20.000 m3/giờ</t>
  </si>
  <si>
    <t>Đăng ký môi trường cấp xã</t>
  </si>
  <si>
    <t>TH phát sinh nước thải xả ra môi trường  &lt; 50 m3/ngày hoặc phát sinh bụi, khí thải xả ra môi trường &lt; 20.000 m3/giờ</t>
  </si>
  <si>
    <t>Tiếp nhận hồ sơ đăng ký môi trường</t>
  </si>
  <si>
    <t xml:space="preserve"> - VB tiếp nhận hồ sơ đăng ký môi trường của UBND cấp tỉnh/xã</t>
  </si>
  <si>
    <t>Khảo sát xây dựng phục vụ lập dự án (Khảo sát địa chất)</t>
  </si>
  <si>
    <t xml:space="preserve"> - Hồ sơ năng lực của đơn vị thực hiện 
 - Hợp đồng khảo sát
 - Nhiệm vụ khảo sát địa chất
 - QĐ phê duyệt nhiệm vụ của CĐT</t>
  </si>
  <si>
    <t xml:space="preserve"> - Phương án kỹ thuật khảo sát địa chất
 - QĐ phê duyệt phương án kỹ thuật của CĐT</t>
  </si>
  <si>
    <t xml:space="preserve"> - Báo cáo kết quả khảo sát địa chất
 - Biên bản nghiệm thu công việc khảo sát
 - QĐ phê duyệt kết quả khảo sát của CĐT</t>
  </si>
  <si>
    <t>Thỏa thuận đấu nối</t>
  </si>
  <si>
    <t>các đầu việc thực hiện đồng thời</t>
  </si>
  <si>
    <t>Thỏa thuận đấu nối cấp nước</t>
  </si>
  <si>
    <t xml:space="preserve"> - Thuyết minh đấu nối
 - Bản vẽ đấu nối
 - VB đề nghị chấp thuận đấu nối của CĐT
 - VB chấp thuận đấu nối của cơ quan, tổ chức</t>
  </si>
  <si>
    <t>Thỏa thuận đấu nối thoát nước thải</t>
  </si>
  <si>
    <t>Thỏa thuận đấu nối giao thông</t>
  </si>
  <si>
    <t>Vị trí đấu nối đã có trong QH thì không phải xin đấu nối theo điều 27 Nghị định 165/2024 và Nghị định 241/2026</t>
  </si>
  <si>
    <t>Vẫn phải xin đấu nối tạm trong quá trình thi công</t>
  </si>
  <si>
    <t>Thỏa thuận đấu nối cấp điện</t>
  </si>
  <si>
    <t>Xin chấp thuận cao độ tĩnh không công trình xây dựng</t>
  </si>
  <si>
    <t xml:space="preserve"> - Bản vẽ vị trí công trình
 - VB đề nghị chấp thuận cao độ tĩnh không
 - VB chấp thuận cao độ tĩnh không của BQP</t>
  </si>
  <si>
    <t>Theo Văn bản hợp nhất 20/VBHN-BQP 2025</t>
  </si>
  <si>
    <t>Lập, thẩm định Báo cáo nghiên cứu khả thi</t>
  </si>
  <si>
    <t>Lập Hồ sơ Báo cáo nghiên cứu khả thi</t>
  </si>
  <si>
    <t xml:space="preserve"> - Thuyết minh Báo cáo NCKT
 - Tổng mức đầu tư
 - Bản vẽ thiết kế cơ sở
 - Thuyết minh thiết kế cơ sở
 - Hồ sơ BIM</t>
  </si>
  <si>
    <t>Xin ý kiến PCCC về TKCS</t>
  </si>
  <si>
    <t xml:space="preserve"> - VB tham gia ý kiến về TKCS của CA PCCC</t>
  </si>
  <si>
    <t>Thẩm tra Báo cáo nghiên cứu khả thi</t>
  </si>
  <si>
    <t xml:space="preserve"> - Báo cáo kết quả thẩm tra Báo cáo NCKT
 - Hồ sơ năng lực đơn vị thẩm tra</t>
  </si>
  <si>
    <t>Thẩm định Báo cáo nghiên cứu khả thi</t>
  </si>
  <si>
    <t xml:space="preserve"> - Báo cáo kết quả thẩm định Báo cáo NCKT của CĐT</t>
  </si>
  <si>
    <t>CĐT tự thẩm định theo Khoản 1 Điều 7 Nghị Quyết 201/2025/QH15
Mẫu số 03 Phụ lục I Nghị định 217/2026/NĐ-CP</t>
  </si>
  <si>
    <t>Phê duyệt dự án, quyết định đầu tư xây dựng</t>
  </si>
  <si>
    <t xml:space="preserve"> - QĐ phê duyệt dự án</t>
  </si>
  <si>
    <t>Mẫu số 09 Phụ lục I Nghị định 217/2026/NĐ-CP</t>
  </si>
  <si>
    <t>Tổ chức quản lý dự án</t>
  </si>
  <si>
    <t>lựa chọn một trong các hình thức QLDA theo quy định tại Mục 5 Nghị định 217/2026/NĐ-CP</t>
  </si>
  <si>
    <t>Thuê tư vấn quản lý dự án đầu tư</t>
  </si>
  <si>
    <t xml:space="preserve"> - Hợp đồng thuê tư vấn QLDA
 - Văn bản thông báo về nhiệm vụ, quyền hạn của người đại diện và bộ máy trực tiếp quản lý dự án gửi CĐT</t>
  </si>
  <si>
    <t>Điều 46 NĐ 217/2026</t>
  </si>
  <si>
    <t>Ban quản lý dự án trực thuộc</t>
  </si>
  <si>
    <t xml:space="preserve"> - QĐ thành lập Ban quản lý dự án trực thuộc
 - CĐT quy định chức năng, nhiệm vụ, quyền hạn và cơ cấu tổ chức hoạt động của Ban quản lý dự án trực thuộc</t>
  </si>
  <si>
    <t>Điều 47 NĐ 217/2026</t>
  </si>
  <si>
    <t>Chủ đầu tư tự thực hiện quản lý dự án</t>
  </si>
  <si>
    <t xml:space="preserve"> - QĐ để phân công cụ thể quyền hạn và trách nhiệm của các thành viên tham gia quản lý dự án
 - HĐ thuê chuyên gia có chuyên môn, kinh nghiệm nghề nghiệp phù hợp</t>
  </si>
  <si>
    <t>Điều 48 NĐ 217/2026</t>
  </si>
  <si>
    <t>Thực hiện dự án</t>
  </si>
  <si>
    <t>Khảo sát xây dựng phục vụ thiết kế xây dựng triển khai sau khi dự án được phê duyệt</t>
  </si>
  <si>
    <t xml:space="preserve"> - Hồ sơ năng lực của đơn vị thực hiện 
 - Nhiệm vụ khảo sát
 - QĐ phê duyệt nhiệm vụ của CĐT</t>
  </si>
  <si>
    <t xml:space="preserve"> - Phương án kỹ thuật khảo sát
 - QĐ phê duyệt phương án kỹ thuật của CĐT</t>
  </si>
  <si>
    <t xml:space="preserve"> - Báo cáo kết quả khảo sát
 - Biên bản nghiệm thu công việc khảo sát
 - QĐ phê duyệt kết quả khảo sát của CĐT</t>
  </si>
  <si>
    <t>Lập, thẩm định, phê duyệt thiết kế xây dựng triển khai sau khi dự án được phê duyệt, dự toán xây dựng</t>
  </si>
  <si>
    <t>Điều 29 Luật xây dựng 2025
Nghị định 217/2026/NĐ-CP</t>
  </si>
  <si>
    <t>Lập Hồ sơ Thiết kế thiết kế xây dựng triển khai sau khi dự án được phê duyệt (Thiết kế BVTC)</t>
  </si>
  <si>
    <t xml:space="preserve"> - Thuyết minh thiết kế bản vẽ thi công
 - Bản vẽ thiết kế thi công
 - Chỉ dẫn kỹ thuật
 - Quy trình bảo trì công trình
 - Hồ sơ BIM</t>
  </si>
  <si>
    <t>chốt theo tiến độ họp với tư vấn ABST</t>
  </si>
  <si>
    <t>Thẩm tra Thiết kế BVTC</t>
  </si>
  <si>
    <t xml:space="preserve"> - Báo cáo kết quả thẩm tra thiết kế BVTC
 - Hồ sơ năng lực đơn vị thẩm tra</t>
  </si>
  <si>
    <t>Mẫu số 11 Phụ lục I ban hành kèm theo NĐ 217/2026</t>
  </si>
  <si>
    <t>Thẩm định thiết kế về PCCC</t>
  </si>
  <si>
    <t xml:space="preserve"> - Văn bản đề nghị thẩm định thiết kế về phòng cháy chữa cháy (Mẫu số PC11 Nghị định 105/2025/NĐ-CP)
 - Thuyết minh thiết kế PCCC
 - Bản vẽ thiết kế PCCC 
 - VB kết quả thẩm định thiết kế về PCCC của CA PCCC</t>
  </si>
  <si>
    <t>Thẩm định thiết kế bản vẽ thi công</t>
  </si>
  <si>
    <t xml:space="preserve"> - Báo cáo kết quả thẩm định thiết kế BVTC của CĐT
 - Các VB góp ý kiến thẩm định của cơ quan (nếu có)
 - Hợp đồng thuê chuyên gia thẩm định (nếu có)</t>
  </si>
  <si>
    <t>CĐT tự thẩm định theo điều 29 Luật xây dựng 2025, Điều 41 Nghị định 217/2026/NĐ-CP
Mẫu số 12 Phụ lục I ban hành kèm theo NĐ 217/2026</t>
  </si>
  <si>
    <t>Phê duyệt thiết kế xây dựng triển khai sau khi dự án được phê duyệt</t>
  </si>
  <si>
    <t xml:space="preserve"> - VB CĐT ủy quyền Ban QLDA phê duyệt thiết kế (nếu có) 
 - Quyết định phê duyệt thiết kế xây dựng triển khai sau khi dự án được phê duyệt</t>
  </si>
  <si>
    <t xml:space="preserve"> - Mẫu QĐ phê duyệt thiết kế xây dựng quy định tại Mẫu số 13 Phụ lục I NĐ 217/2026
 - Mẫu dấu phê duyệt thiết kế xây dựng quy định tại Mẫu số 14 Phụ lục I NĐ 217/2026</t>
  </si>
  <si>
    <t>II.3</t>
  </si>
  <si>
    <t>Xin cấp phép xây dựng</t>
  </si>
  <si>
    <t>Chuẩn bị hồ sơ xin cấp phép xây dựng</t>
  </si>
  <si>
    <t xml:space="preserve"> - Đơn đề nghị cấp giấy phép xây dựng theo quy định tại Mẫu số 01 Phụ lục II NĐ 217/2026
 - Giấy tờ hợp pháp về đất đai quy định tại điều 55 NĐ 217/2026 (QĐ giao đất)
 - Quyết định phê duyệt dự án
 - Báo cáo kết quả thẩm tra thiết kế xây dựng
 - Kết quả thẩm định thiết kế PCCC
 - Kết quả đăng ký môi trường
 - Bộ bản vẽ xin phép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t>
  </si>
  <si>
    <t>Điều 56, 57 NĐ 217/2026</t>
  </si>
  <si>
    <t>Thẩm định xin cấp phép xây dựng</t>
  </si>
  <si>
    <t xml:space="preserve"> - Biên bản kiểm tra thực địa (nếu có)
 - Các VB lấy ý kiến của cơ quan quản lý nhà nước về những lĩnh vực liên quan (nếu có)
 - VB thông báo kết quả thẩm định</t>
  </si>
  <si>
    <t>Điều 54 NĐ 217/2026</t>
  </si>
  <si>
    <t>Phê duyệt cấp phép xây dựng</t>
  </si>
  <si>
    <t xml:space="preserve"> - Giấy phép xây dựng theo mẫu NĐ 217/2026
 - Bản vẽ thiết kế được đóng dấu cấp phép</t>
  </si>
  <si>
    <t>II.4</t>
  </si>
  <si>
    <t>Điều kiện khởi công xây dựng</t>
  </si>
  <si>
    <t>NĐ 207/2026</t>
  </si>
  <si>
    <t xml:space="preserve"> - Thông báo khởi công</t>
  </si>
  <si>
    <t xml:space="preserve"> - Thông báo khởi công xây dựng gửi trực tiếp, thông qua dịch vụ bưu chính hoặc trực tuyến tới cơ quan quản lý nhà nước về xây dựng tại địa phương theo mẫu quy định tại Phụ lục V Nghị định 207/2026</t>
  </si>
  <si>
    <t>II.5</t>
  </si>
  <si>
    <t>Thủ tục kinh doanh bất động sản hình thành trong tương lai</t>
  </si>
  <si>
    <t>Luật nhà ở 2023</t>
  </si>
  <si>
    <t>Chuẩn bị hồ sơ vv kinh doanh bất động sản hình thành trong tương lai</t>
  </si>
  <si>
    <t xml:space="preserve"> - Báo cáo thông tin dự án
 - Cam kết của CĐT không thế chấp dự án
 - VB vv thông báo đủ điều kiện kinh doanh BĐS hình thành trong tương lai gửi SXD</t>
  </si>
  <si>
    <t>Thẩm định hồ sơ vv kinh doanh bất động sản hình thành trong tương lai</t>
  </si>
  <si>
    <t xml:space="preserve"> - Biên bản kiểm tra hiện trường
 - VB thông báo đủ điều kiện kinh doanh BĐS hình thành trong tương lai của SXD</t>
  </si>
  <si>
    <t>II.6</t>
  </si>
  <si>
    <t>Thủ tục xác định giá bán, giá thuê mua</t>
  </si>
  <si>
    <t>Điều 13 NĐ 192/2025</t>
  </si>
  <si>
    <t>CĐT tự xây dựng giá bán, giá thuê mua</t>
  </si>
  <si>
    <t xml:space="preserve"> - Hồ sơ xác định giá bán của CĐT</t>
  </si>
  <si>
    <t>Thẩm tra hồ sơ xác định giá bán, giá thuê mua</t>
  </si>
  <si>
    <t xml:space="preserve"> - Hồ sơ năng lực đơn vị tư vấn
 - Hợp đồng thuê tư vấn thẩm tra
 - Báo cáo kết quả thẩm tra</t>
  </si>
  <si>
    <t>Phê duyệt giá bán, giá thuê mua</t>
  </si>
  <si>
    <t xml:space="preserve"> - QĐ phê duyệt giá bán, giá thuê mua của CĐT</t>
  </si>
  <si>
    <t>Công khai giá bán, giá thuê mua</t>
  </si>
  <si>
    <t xml:space="preserve"> - VB gửi SXD đề nghị công khai giá bán, giá thuê mua
 - Hồ sơ xác định giá bán, thẩm tra (kèm theo)
 - Kết quả công khai (Văn bản, trang điện tử của SXD)</t>
  </si>
  <si>
    <t>II.7</t>
  </si>
  <si>
    <t>Kiểm tra công tác nghiệm thu hoàn thành đưa vào sử dụng</t>
  </si>
  <si>
    <t>Chuẩn bị hồ sơ đề nghị kiểm tra</t>
  </si>
  <si>
    <t xml:space="preserve"> - Báo cáo hoàn thành thi công xây dựng của CĐT
 - Toàn bộ các hồ sơ pháp lý, hồ sơ quản lý chất lượng, bản vẽ hoàn công…kèm theo</t>
  </si>
  <si>
    <t xml:space="preserve"> - Biên bản kiểm tra hiện trường
 - VB thông báo Kết quả Kiểm tra công tác nghiệm thu hoàn thành đưa vào sử dụng của SXD</t>
  </si>
  <si>
    <t>III</t>
  </si>
  <si>
    <t>Kết thúc xây dựng</t>
  </si>
  <si>
    <t>III.1</t>
  </si>
  <si>
    <t>Quyết toán vốn đầu tư xây dựng công trình</t>
  </si>
  <si>
    <t>Chuẩn bị hồ sơ quyết toán vốn</t>
  </si>
  <si>
    <t xml:space="preserve"> - Hồ sơ quyết toán vốn đầu XDCT của CĐT</t>
  </si>
  <si>
    <t>Kiểm toán Hồ sơ quyết toán vốn đầu tư</t>
  </si>
  <si>
    <t xml:space="preserve"> - Hồ sơ năng lực đơn vị tư vấn kiểm toán
 - Hợp đồng thuê tư vấn kiểm toán
 - Báo cáo kết quả kiểm toán</t>
  </si>
  <si>
    <t>Kiểm tra giá bán, giá thuê mua</t>
  </si>
  <si>
    <t xml:space="preserve"> - VB đề nghị SXD kiểm tra giá bán, giá thuê mua
 - Hồ sơ quyết toán vốn, kiểm toán (kèm theo)</t>
  </si>
  <si>
    <t>Thông báo kết quả kiểm tra giá bán, giá thuê mua</t>
  </si>
  <si>
    <t xml:space="preserve"> - VB thông báo kết quả kiểm tra của SXD
 - Công khai thông báo kết quả kiểm tra trên cổng thông tin điện tử</t>
  </si>
  <si>
    <t>III.2</t>
  </si>
  <si>
    <t>Bảo hành công trình, bàn giao hồ sơ</t>
  </si>
  <si>
    <t>Bàn giao hồ sơ, tài sản</t>
  </si>
  <si>
    <t xml:space="preserve"> - Các biên bản bàn giao hồ sơ, tài sản dự án cho ban quản trị, cơ quan liên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</si>
</sst>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Times New Roman"/>
      <family val="1"/>
    </font>
    <font>
      <b/>
      <sz val="11"/>
      <color indexed="4"/>
      <name val="Times New Roman"/>
      <family val="1"/>
    </font>
    <font>
      <b/>
      <sz val="11"/>
      <name val="Times New Roman"/>
      <family val="1"/>
    </font>
    <font>
      <b/>
      <sz val="11"/>
      <color theme="1"/>
      <name val="Times New Roman"/>
      <family val="1"/>
    </font>
    <font>
      <sz val="11"/>
      <color indexed="2"/>
      <name val="Times New Roman"/>
      <family val="1"/>
    </font>
    <font>
      <sz val="11"/>
      <name val="Times New Roman"/>
      <family val="1"/>
    </font>
  </fonts>
  <fills count="6">
    <fill>
      <patternFill patternType="none"/>
    </fill>
    <fill>
      <patternFill patternType="gray125"/>
    </fill>
    <fill>
      <patternFill patternType="solid">
        <fgColor theme="9" tint="0.39997558519241921"/>
        <bgColor indexed="65"/>
      </patternFill>
    </fill>
    <fill>
      <patternFill patternType="solid">
        <fgColor theme="9" tint="0.79998168889431442"/>
        <bgColor indexed="65"/>
      </patternFill>
    </fill>
    <fill>
      <patternFill patternType="solid">
        <fgColor theme="8" tint="0.79998168889431442"/>
        <bgColor indexed="65"/>
      </patternFill>
    </fill>
    <fill>
      <patternFill patternType="solid">
        <fgColor theme="0"/>
      </patternFill>
    </fill>
  </fills>
  <borders count="7">
    <border>
      <left/>
      <right/>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style="thin">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thin">
        <color theme="1"/>
      </right>
      <top style="thin">
        <color theme="1"/>
      </top>
      <bottom style="thin">
        <color auto="1"/>
      </bottom>
      <diagonal/>
    </border>
  </borders>
  <cellStyleXfs count="1">
    <xf numFmtId="0" fontId="0" fillId="0" borderId="0"/>
  </cellStyleXfs>
  <cellXfs count="31">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4" borderId="3" xfId="0" applyFont="1" applyFill="1" applyBorder="1" applyAlignment="1">
      <alignment vertical="center" wrapText="1"/>
    </xf>
    <xf numFmtId="0" fontId="1" fillId="4" borderId="4" xfId="0" applyFont="1" applyFill="1" applyBorder="1" applyAlignment="1">
      <alignment horizontal="left" vertical="center"/>
    </xf>
    <xf numFmtId="0" fontId="1"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5" xfId="0" applyFont="1" applyBorder="1" applyAlignment="1">
      <alignment horizontal="left" vertical="center" wrapText="1"/>
    </xf>
    <xf numFmtId="0" fontId="6"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wrapText="1"/>
    </xf>
    <xf numFmtId="0" fontId="1" fillId="5" borderId="0" xfId="0" applyFont="1" applyFill="1"/>
    <xf numFmtId="0" fontId="5" fillId="5" borderId="5" xfId="0" applyFont="1" applyFill="1" applyBorder="1" applyAlignment="1">
      <alignment horizontal="center" vertical="center" wrapText="1"/>
    </xf>
    <xf numFmtId="0" fontId="6" fillId="5" borderId="5" xfId="0" applyFont="1" applyFill="1" applyBorder="1" applyAlignment="1">
      <alignment vertical="center" wrapText="1"/>
    </xf>
    <xf numFmtId="0" fontId="1" fillId="5" borderId="5" xfId="0" applyFont="1" applyFill="1" applyBorder="1" applyAlignment="1">
      <alignment horizontal="left" vertical="center" wrapText="1"/>
    </xf>
    <xf numFmtId="0" fontId="1" fillId="5" borderId="5" xfId="0" applyFont="1" applyFill="1" applyBorder="1" applyAlignment="1">
      <alignment horizontal="center" vertical="center" wrapText="1"/>
    </xf>
    <xf numFmtId="14" fontId="1" fillId="5" borderId="5" xfId="0" applyNumberFormat="1" applyFont="1" applyFill="1" applyBorder="1" applyAlignment="1">
      <alignment horizontal="center" vertical="center" wrapText="1"/>
    </xf>
    <xf numFmtId="14" fontId="1" fillId="0" borderId="5" xfId="0" applyNumberFormat="1" applyFont="1" applyBorder="1" applyAlignment="1">
      <alignment horizontal="center" vertical="center" wrapText="1"/>
    </xf>
    <xf numFmtId="0" fontId="2"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62"/>
  <sheetViews>
    <sheetView tabSelected="1" topLeftCell="B1" workbookViewId="0">
      <selection activeCell="D5" sqref="D5"/>
    </sheetView>
  </sheetViews>
  <sheetFormatPr defaultColWidth="9.109375" defaultRowHeight="13.8" x14ac:dyDescent="0.25"/>
  <cols>
    <col min="1" max="2" width="9.109375" style="1"/>
    <col min="3" max="3" width="38" style="1" customWidth="1"/>
    <col min="4" max="4" width="48.109375" style="1" customWidth="1"/>
    <col min="5" max="5" width="49.6640625" style="2" customWidth="1"/>
    <col min="6" max="6" width="12.6640625" style="2" customWidth="1"/>
    <col min="7" max="7" width="11.6640625" style="3" customWidth="1"/>
    <col min="8" max="8" width="12.6640625" style="2" customWidth="1"/>
    <col min="9" max="9" width="19" style="2" customWidth="1"/>
    <col min="10" max="16384" width="9.109375" style="1"/>
  </cols>
  <sheetData>
    <row r="2" spans="2:9" ht="36" customHeight="1" x14ac:dyDescent="0.25">
      <c r="B2" s="4" t="s">
        <v>0</v>
      </c>
      <c r="C2" s="4" t="s">
        <v>1</v>
      </c>
      <c r="D2" s="4" t="s">
        <v>2</v>
      </c>
      <c r="E2" s="4" t="s">
        <v>3</v>
      </c>
      <c r="F2" s="4" t="s">
        <v>4</v>
      </c>
      <c r="G2" s="4" t="s">
        <v>5</v>
      </c>
      <c r="H2" s="4" t="s">
        <v>6</v>
      </c>
      <c r="I2" s="4" t="s">
        <v>7</v>
      </c>
    </row>
    <row r="3" spans="2:9" ht="27.6" x14ac:dyDescent="0.25">
      <c r="B3" s="5" t="s">
        <v>8</v>
      </c>
      <c r="C3" s="6" t="s">
        <v>9</v>
      </c>
      <c r="D3" s="7"/>
      <c r="E3" s="7" t="s">
        <v>10</v>
      </c>
      <c r="F3" s="7"/>
      <c r="G3" s="7"/>
      <c r="H3" s="7"/>
      <c r="I3" s="7"/>
    </row>
    <row r="4" spans="2:9" ht="27.6" x14ac:dyDescent="0.25">
      <c r="B4" s="8" t="s">
        <v>11</v>
      </c>
      <c r="C4" s="9" t="s">
        <v>12</v>
      </c>
      <c r="D4" s="10"/>
      <c r="E4" s="11"/>
      <c r="F4" s="11"/>
      <c r="G4" s="12">
        <f>SUM(G5:G6)</f>
        <v>30</v>
      </c>
      <c r="H4" s="11"/>
      <c r="I4" s="11"/>
    </row>
    <row r="5" spans="2:9" ht="141" customHeight="1" x14ac:dyDescent="0.25">
      <c r="B5" s="13">
        <v>1</v>
      </c>
      <c r="C5" s="14" t="s">
        <v>13</v>
      </c>
      <c r="D5" s="15" t="s">
        <v>14</v>
      </c>
      <c r="E5" s="14"/>
      <c r="F5" s="14"/>
      <c r="G5" s="16">
        <v>20</v>
      </c>
      <c r="H5" s="14"/>
      <c r="I5" s="16" t="s">
        <v>15</v>
      </c>
    </row>
    <row r="6" spans="2:9" ht="38.25" customHeight="1" x14ac:dyDescent="0.25">
      <c r="B6" s="13">
        <v>2</v>
      </c>
      <c r="C6" s="14" t="s">
        <v>16</v>
      </c>
      <c r="D6" s="15" t="s">
        <v>17</v>
      </c>
      <c r="E6" s="14"/>
      <c r="F6" s="14"/>
      <c r="G6" s="16">
        <v>10</v>
      </c>
      <c r="H6" s="14"/>
      <c r="I6" s="16" t="s">
        <v>15</v>
      </c>
    </row>
    <row r="7" spans="2:9" x14ac:dyDescent="0.25">
      <c r="B7" s="8" t="s">
        <v>18</v>
      </c>
      <c r="C7" s="9" t="s">
        <v>19</v>
      </c>
      <c r="D7" s="10"/>
      <c r="E7" s="11"/>
      <c r="F7" s="11"/>
      <c r="G7" s="12">
        <f>SUM(G8:G9)</f>
        <v>5</v>
      </c>
      <c r="H7" s="11"/>
      <c r="I7" s="11"/>
    </row>
    <row r="8" spans="2:9" ht="32.25" customHeight="1" x14ac:dyDescent="0.25">
      <c r="B8" s="13">
        <v>3</v>
      </c>
      <c r="C8" s="14" t="s">
        <v>20</v>
      </c>
      <c r="D8" s="17" t="s">
        <v>21</v>
      </c>
      <c r="E8" s="18"/>
      <c r="F8" s="18"/>
      <c r="G8" s="18">
        <v>2</v>
      </c>
      <c r="H8" s="18"/>
      <c r="I8" s="16" t="s">
        <v>15</v>
      </c>
    </row>
    <row r="9" spans="2:9" ht="24.75" customHeight="1" x14ac:dyDescent="0.25">
      <c r="B9" s="13">
        <v>4</v>
      </c>
      <c r="C9" s="14" t="s">
        <v>22</v>
      </c>
      <c r="D9" s="17" t="s">
        <v>23</v>
      </c>
      <c r="E9" s="18"/>
      <c r="F9" s="18"/>
      <c r="G9" s="18">
        <v>3</v>
      </c>
      <c r="H9" s="18"/>
      <c r="I9" s="16" t="s">
        <v>15</v>
      </c>
    </row>
    <row r="10" spans="2:9" ht="27.6" x14ac:dyDescent="0.25">
      <c r="B10" s="8" t="s">
        <v>24</v>
      </c>
      <c r="C10" s="9" t="s">
        <v>25</v>
      </c>
      <c r="D10" s="10"/>
      <c r="E10" s="11"/>
      <c r="F10" s="11"/>
      <c r="G10" s="12">
        <v>5</v>
      </c>
      <c r="H10" s="11"/>
      <c r="I10" s="11"/>
    </row>
    <row r="11" spans="2:9" ht="32.25" customHeight="1" x14ac:dyDescent="0.25">
      <c r="B11" s="13">
        <v>5</v>
      </c>
      <c r="C11" s="14" t="s">
        <v>25</v>
      </c>
      <c r="D11" s="17" t="s">
        <v>26</v>
      </c>
      <c r="E11" s="18"/>
      <c r="F11" s="18"/>
      <c r="G11" s="18">
        <v>5</v>
      </c>
      <c r="H11" s="18"/>
      <c r="I11" s="16" t="s">
        <v>15</v>
      </c>
    </row>
    <row r="12" spans="2:9" x14ac:dyDescent="0.25">
      <c r="B12" s="8" t="s">
        <v>27</v>
      </c>
      <c r="C12" s="9" t="s">
        <v>28</v>
      </c>
      <c r="D12" s="10"/>
      <c r="E12" s="11"/>
      <c r="F12" s="11"/>
      <c r="G12" s="12">
        <f>SUM(G13:G15)</f>
        <v>6</v>
      </c>
      <c r="H12" s="11"/>
      <c r="I12" s="11"/>
    </row>
    <row r="13" spans="2:9" ht="20.25" customHeight="1" x14ac:dyDescent="0.25">
      <c r="B13" s="13">
        <v>6</v>
      </c>
      <c r="C13" s="14" t="s">
        <v>29</v>
      </c>
      <c r="D13" s="17" t="s">
        <v>30</v>
      </c>
      <c r="E13" s="18"/>
      <c r="F13" s="18"/>
      <c r="G13" s="18">
        <v>1</v>
      </c>
      <c r="H13" s="18"/>
      <c r="I13" s="16" t="s">
        <v>15</v>
      </c>
    </row>
    <row r="14" spans="2:9" ht="45" customHeight="1" x14ac:dyDescent="0.25">
      <c r="B14" s="13">
        <v>7</v>
      </c>
      <c r="C14" s="14" t="s">
        <v>31</v>
      </c>
      <c r="D14" s="17"/>
      <c r="E14" s="18"/>
      <c r="F14" s="18"/>
      <c r="G14" s="18">
        <v>3</v>
      </c>
      <c r="H14" s="18"/>
      <c r="I14" s="16" t="s">
        <v>15</v>
      </c>
    </row>
    <row r="15" spans="2:9" ht="41.25" customHeight="1" x14ac:dyDescent="0.25">
      <c r="B15" s="13">
        <v>8</v>
      </c>
      <c r="C15" s="14" t="s">
        <v>32</v>
      </c>
      <c r="D15" s="17" t="s">
        <v>33</v>
      </c>
      <c r="E15" s="18"/>
      <c r="F15" s="18"/>
      <c r="G15" s="18">
        <v>2</v>
      </c>
      <c r="H15" s="18"/>
      <c r="I15" s="16" t="s">
        <v>15</v>
      </c>
    </row>
    <row r="16" spans="2:9" ht="27.6" x14ac:dyDescent="0.25">
      <c r="B16" s="8" t="s">
        <v>34</v>
      </c>
      <c r="C16" s="9" t="s">
        <v>35</v>
      </c>
      <c r="D16" s="10"/>
      <c r="E16" s="11" t="s">
        <v>36</v>
      </c>
      <c r="F16" s="11"/>
      <c r="G16" s="12">
        <f>SUM(G17:G21)</f>
        <v>175</v>
      </c>
      <c r="H16" s="11"/>
      <c r="I16" s="11"/>
    </row>
    <row r="17" spans="2:9" ht="51.75" customHeight="1" x14ac:dyDescent="0.25">
      <c r="B17" s="13">
        <v>9</v>
      </c>
      <c r="C17" s="14" t="s">
        <v>37</v>
      </c>
      <c r="D17" s="14" t="s">
        <v>38</v>
      </c>
      <c r="E17" s="18"/>
      <c r="F17" s="18"/>
      <c r="G17" s="18">
        <v>15</v>
      </c>
      <c r="H17" s="18"/>
      <c r="I17" s="16" t="s">
        <v>15</v>
      </c>
    </row>
    <row r="18" spans="2:9" ht="135.75" customHeight="1" x14ac:dyDescent="0.25">
      <c r="B18" s="13">
        <v>10</v>
      </c>
      <c r="C18" s="14" t="s">
        <v>39</v>
      </c>
      <c r="D18" s="14" t="s">
        <v>40</v>
      </c>
      <c r="E18" s="18"/>
      <c r="F18" s="18"/>
      <c r="G18" s="18">
        <v>90</v>
      </c>
      <c r="H18" s="18"/>
      <c r="I18" s="16" t="s">
        <v>41</v>
      </c>
    </row>
    <row r="19" spans="2:9" ht="66.75" customHeight="1" x14ac:dyDescent="0.25">
      <c r="B19" s="13">
        <v>11</v>
      </c>
      <c r="C19" s="14" t="s">
        <v>42</v>
      </c>
      <c r="D19" s="17" t="s">
        <v>43</v>
      </c>
      <c r="E19" s="18"/>
      <c r="F19" s="18"/>
      <c r="G19" s="18">
        <v>30</v>
      </c>
      <c r="H19" s="18"/>
      <c r="I19" s="16" t="s">
        <v>41</v>
      </c>
    </row>
    <row r="20" spans="2:9" ht="27" customHeight="1" x14ac:dyDescent="0.25">
      <c r="B20" s="13">
        <v>12</v>
      </c>
      <c r="C20" s="14" t="s">
        <v>44</v>
      </c>
      <c r="D20" s="17" t="s">
        <v>45</v>
      </c>
      <c r="E20" s="18"/>
      <c r="F20" s="18"/>
      <c r="G20" s="18">
        <v>10</v>
      </c>
      <c r="H20" s="18"/>
      <c r="I20" s="16" t="s">
        <v>15</v>
      </c>
    </row>
    <row r="21" spans="2:9" ht="70.5" customHeight="1" x14ac:dyDescent="0.25">
      <c r="B21" s="13">
        <v>13</v>
      </c>
      <c r="C21" s="14" t="s">
        <v>46</v>
      </c>
      <c r="D21" s="17" t="s">
        <v>47</v>
      </c>
      <c r="E21" s="18"/>
      <c r="F21" s="18"/>
      <c r="G21" s="18">
        <v>30</v>
      </c>
      <c r="H21" s="18"/>
      <c r="I21" s="18" t="s">
        <v>48</v>
      </c>
    </row>
    <row r="22" spans="2:9" ht="27.6" x14ac:dyDescent="0.25">
      <c r="B22" s="8" t="s">
        <v>49</v>
      </c>
      <c r="C22" s="9" t="s">
        <v>50</v>
      </c>
      <c r="D22" s="10"/>
      <c r="E22" s="11"/>
      <c r="F22" s="11"/>
      <c r="G22" s="12">
        <v>10</v>
      </c>
      <c r="H22" s="11"/>
      <c r="I22" s="11"/>
    </row>
    <row r="23" spans="2:9" ht="32.25" customHeight="1" x14ac:dyDescent="0.25">
      <c r="B23" s="13">
        <v>14</v>
      </c>
      <c r="C23" s="14" t="s">
        <v>51</v>
      </c>
      <c r="D23" s="17" t="s">
        <v>52</v>
      </c>
      <c r="E23" s="18"/>
      <c r="F23" s="18"/>
      <c r="G23" s="18">
        <v>10</v>
      </c>
      <c r="H23" s="18"/>
      <c r="I23" s="18" t="s">
        <v>53</v>
      </c>
    </row>
    <row r="24" spans="2:9" ht="27.6" x14ac:dyDescent="0.25">
      <c r="B24" s="8" t="s">
        <v>54</v>
      </c>
      <c r="C24" s="9" t="s">
        <v>55</v>
      </c>
      <c r="D24" s="10"/>
      <c r="E24" s="11"/>
      <c r="F24" s="11"/>
      <c r="G24" s="12">
        <f>SUM(G25:G26)</f>
        <v>12</v>
      </c>
      <c r="H24" s="11"/>
      <c r="I24" s="11"/>
    </row>
    <row r="25" spans="2:9" ht="41.25" customHeight="1" x14ac:dyDescent="0.25">
      <c r="B25" s="13">
        <v>15</v>
      </c>
      <c r="C25" s="14" t="s">
        <v>56</v>
      </c>
      <c r="D25" s="17" t="s">
        <v>57</v>
      </c>
      <c r="E25" s="18"/>
      <c r="F25" s="18"/>
      <c r="G25" s="18">
        <v>2</v>
      </c>
      <c r="H25" s="18"/>
      <c r="I25" s="18" t="s">
        <v>53</v>
      </c>
    </row>
    <row r="26" spans="2:9" ht="48" customHeight="1" x14ac:dyDescent="0.25">
      <c r="B26" s="13">
        <v>16</v>
      </c>
      <c r="C26" s="14" t="s">
        <v>55</v>
      </c>
      <c r="D26" s="14" t="s">
        <v>58</v>
      </c>
      <c r="E26" s="18"/>
      <c r="F26" s="18"/>
      <c r="G26" s="18">
        <v>10</v>
      </c>
      <c r="H26" s="18"/>
      <c r="I26" s="18" t="s">
        <v>53</v>
      </c>
    </row>
    <row r="27" spans="2:9" ht="27.6" x14ac:dyDescent="0.25">
      <c r="B27" s="8" t="s">
        <v>59</v>
      </c>
      <c r="C27" s="9" t="s">
        <v>60</v>
      </c>
      <c r="D27" s="10"/>
      <c r="E27" s="11"/>
      <c r="F27" s="11"/>
      <c r="G27" s="12">
        <f>SUM(G28:G29)</f>
        <v>10</v>
      </c>
      <c r="H27" s="11"/>
      <c r="I27" s="11"/>
    </row>
    <row r="28" spans="2:9" ht="36.75" customHeight="1" x14ac:dyDescent="0.25">
      <c r="B28" s="13">
        <v>17</v>
      </c>
      <c r="C28" s="14" t="s">
        <v>61</v>
      </c>
      <c r="D28" s="17" t="s">
        <v>62</v>
      </c>
      <c r="E28" s="18"/>
      <c r="F28" s="18"/>
      <c r="G28" s="18">
        <v>5</v>
      </c>
      <c r="H28" s="18"/>
      <c r="I28" s="18" t="s">
        <v>53</v>
      </c>
    </row>
    <row r="29" spans="2:9" ht="36.75" customHeight="1" x14ac:dyDescent="0.25">
      <c r="B29" s="19">
        <v>18</v>
      </c>
      <c r="C29" s="20" t="s">
        <v>63</v>
      </c>
      <c r="D29" s="21" t="s">
        <v>64</v>
      </c>
      <c r="E29" s="22"/>
      <c r="F29" s="22"/>
      <c r="G29" s="22">
        <v>5</v>
      </c>
      <c r="H29" s="22"/>
      <c r="I29" s="18" t="s">
        <v>53</v>
      </c>
    </row>
    <row r="30" spans="2:9" ht="21" customHeight="1" x14ac:dyDescent="0.25">
      <c r="B30" s="8" t="s">
        <v>65</v>
      </c>
      <c r="C30" s="9" t="s">
        <v>66</v>
      </c>
      <c r="D30" s="10"/>
      <c r="E30" s="11"/>
      <c r="F30" s="11"/>
      <c r="G30" s="12">
        <v>10</v>
      </c>
      <c r="H30" s="11"/>
      <c r="I30" s="11"/>
    </row>
    <row r="31" spans="2:9" ht="48" customHeight="1" x14ac:dyDescent="0.25">
      <c r="B31" s="13">
        <v>19</v>
      </c>
      <c r="C31" s="14" t="s">
        <v>67</v>
      </c>
      <c r="D31" s="17" t="s">
        <v>68</v>
      </c>
      <c r="E31" s="18"/>
      <c r="F31" s="18"/>
      <c r="G31" s="18">
        <v>10</v>
      </c>
      <c r="H31" s="18"/>
      <c r="I31" s="18" t="s">
        <v>53</v>
      </c>
    </row>
    <row r="32" spans="2:9" ht="34.5" customHeight="1" x14ac:dyDescent="0.25">
      <c r="B32" s="8" t="s">
        <v>69</v>
      </c>
      <c r="C32" s="9" t="s">
        <v>70</v>
      </c>
      <c r="D32" s="10"/>
      <c r="E32" s="11"/>
      <c r="F32" s="11"/>
      <c r="G32" s="12">
        <v>20</v>
      </c>
      <c r="H32" s="11"/>
      <c r="I32" s="11"/>
    </row>
    <row r="33" spans="2:9" ht="48" customHeight="1" x14ac:dyDescent="0.25">
      <c r="B33" s="13">
        <v>20</v>
      </c>
      <c r="C33" s="14" t="s">
        <v>71</v>
      </c>
      <c r="D33" s="17" t="s">
        <v>72</v>
      </c>
      <c r="E33" s="18"/>
      <c r="F33" s="18"/>
      <c r="G33" s="18">
        <v>20</v>
      </c>
      <c r="H33" s="18"/>
      <c r="I33" s="18" t="s">
        <v>53</v>
      </c>
    </row>
    <row r="34" spans="2:9" ht="34.5" customHeight="1" x14ac:dyDescent="0.25">
      <c r="B34" s="8" t="s">
        <v>73</v>
      </c>
      <c r="C34" s="9" t="s">
        <v>74</v>
      </c>
      <c r="D34" s="10"/>
      <c r="E34" s="11"/>
      <c r="F34" s="11"/>
      <c r="G34" s="12">
        <v>5</v>
      </c>
      <c r="H34" s="11"/>
      <c r="I34" s="11"/>
    </row>
    <row r="35" spans="2:9" ht="65.25" customHeight="1" x14ac:dyDescent="0.25">
      <c r="B35" s="13">
        <v>21</v>
      </c>
      <c r="C35" s="14" t="s">
        <v>74</v>
      </c>
      <c r="D35" s="17" t="s">
        <v>75</v>
      </c>
      <c r="E35" s="18"/>
      <c r="F35" s="18"/>
      <c r="G35" s="18">
        <v>5</v>
      </c>
      <c r="H35" s="18"/>
      <c r="I35" s="18" t="s">
        <v>53</v>
      </c>
    </row>
    <row r="36" spans="2:9" ht="43.5" customHeight="1" x14ac:dyDescent="0.25">
      <c r="B36" s="8" t="s">
        <v>76</v>
      </c>
      <c r="C36" s="9" t="s">
        <v>77</v>
      </c>
      <c r="D36" s="10"/>
      <c r="E36" s="11"/>
      <c r="F36" s="11"/>
      <c r="G36" s="12">
        <f>SUM(G37:G38)</f>
        <v>6</v>
      </c>
      <c r="H36" s="11"/>
      <c r="I36" s="11"/>
    </row>
    <row r="37" spans="2:9" ht="27.6" x14ac:dyDescent="0.25">
      <c r="B37" s="13">
        <v>22</v>
      </c>
      <c r="C37" s="14" t="s">
        <v>78</v>
      </c>
      <c r="D37" s="17" t="s">
        <v>79</v>
      </c>
      <c r="E37" s="18"/>
      <c r="F37" s="18"/>
      <c r="G37" s="18">
        <v>1</v>
      </c>
      <c r="H37" s="18"/>
      <c r="I37" s="18" t="s">
        <v>53</v>
      </c>
    </row>
    <row r="38" spans="2:9" s="23" customFormat="1" ht="38.25" customHeight="1" x14ac:dyDescent="0.25">
      <c r="B38" s="24">
        <v>23</v>
      </c>
      <c r="C38" s="25" t="s">
        <v>80</v>
      </c>
      <c r="D38" s="26" t="s">
        <v>81</v>
      </c>
      <c r="E38" s="27"/>
      <c r="F38" s="27"/>
      <c r="G38" s="27">
        <v>5</v>
      </c>
      <c r="H38" s="27"/>
      <c r="I38" s="18" t="s">
        <v>53</v>
      </c>
    </row>
    <row r="39" spans="2:9" ht="33.75" customHeight="1" x14ac:dyDescent="0.25">
      <c r="B39" s="8" t="s">
        <v>82</v>
      </c>
      <c r="C39" s="9" t="s">
        <v>83</v>
      </c>
      <c r="D39" s="10"/>
      <c r="E39" s="11"/>
      <c r="F39" s="11"/>
      <c r="G39" s="12">
        <f>SUM(G40:G41)</f>
        <v>12</v>
      </c>
      <c r="H39" s="11"/>
      <c r="I39" s="11"/>
    </row>
    <row r="40" spans="2:9" s="23" customFormat="1" ht="24" customHeight="1" x14ac:dyDescent="0.25">
      <c r="B40" s="24">
        <v>24</v>
      </c>
      <c r="C40" s="25" t="s">
        <v>84</v>
      </c>
      <c r="D40" s="26" t="s">
        <v>85</v>
      </c>
      <c r="E40" s="27"/>
      <c r="F40" s="28">
        <v>46296</v>
      </c>
      <c r="G40" s="27">
        <v>2</v>
      </c>
      <c r="H40" s="28">
        <f t="shared" ref="H40:H61" si="0">F40+G40</f>
        <v>46298</v>
      </c>
      <c r="I40" s="27"/>
    </row>
    <row r="41" spans="2:9" s="23" customFormat="1" ht="84.75" customHeight="1" x14ac:dyDescent="0.25">
      <c r="B41" s="24">
        <v>25</v>
      </c>
      <c r="C41" s="25" t="s">
        <v>86</v>
      </c>
      <c r="D41" s="26" t="s">
        <v>87</v>
      </c>
      <c r="E41" s="27"/>
      <c r="F41" s="28">
        <f>H40</f>
        <v>46298</v>
      </c>
      <c r="G41" s="27">
        <v>10</v>
      </c>
      <c r="H41" s="28">
        <f t="shared" si="0"/>
        <v>46308</v>
      </c>
      <c r="I41" s="27" t="s">
        <v>88</v>
      </c>
    </row>
    <row r="42" spans="2:9" ht="33.75" customHeight="1" x14ac:dyDescent="0.25">
      <c r="B42" s="8" t="s">
        <v>89</v>
      </c>
      <c r="C42" s="9" t="s">
        <v>90</v>
      </c>
      <c r="D42" s="10"/>
      <c r="E42" s="11"/>
      <c r="F42" s="11"/>
      <c r="G42" s="12">
        <f>SUM(G43:G44)</f>
        <v>35</v>
      </c>
      <c r="H42" s="11"/>
      <c r="I42" s="11"/>
    </row>
    <row r="43" spans="2:9" ht="30" customHeight="1" x14ac:dyDescent="0.25">
      <c r="B43" s="13">
        <v>26</v>
      </c>
      <c r="C43" s="14" t="s">
        <v>91</v>
      </c>
      <c r="D43" s="17" t="s">
        <v>92</v>
      </c>
      <c r="E43" s="18"/>
      <c r="F43" s="29">
        <f>H41</f>
        <v>46308</v>
      </c>
      <c r="G43" s="18">
        <v>5</v>
      </c>
      <c r="H43" s="28">
        <f t="shared" si="0"/>
        <v>46313</v>
      </c>
      <c r="I43" s="18"/>
    </row>
    <row r="44" spans="2:9" ht="51.75" customHeight="1" x14ac:dyDescent="0.25">
      <c r="B44" s="13">
        <v>27</v>
      </c>
      <c r="C44" s="14" t="s">
        <v>93</v>
      </c>
      <c r="D44" s="17" t="s">
        <v>94</v>
      </c>
      <c r="E44" s="18"/>
      <c r="F44" s="18"/>
      <c r="G44" s="18">
        <v>30</v>
      </c>
      <c r="H44" s="28"/>
      <c r="I44" s="18" t="s">
        <v>48</v>
      </c>
    </row>
    <row r="45" spans="2:9" ht="33.75" customHeight="1" x14ac:dyDescent="0.25">
      <c r="B45" s="8" t="s">
        <v>95</v>
      </c>
      <c r="C45" s="9" t="s">
        <v>96</v>
      </c>
      <c r="D45" s="10"/>
      <c r="E45" s="11"/>
      <c r="F45" s="11"/>
      <c r="G45" s="12">
        <v>5</v>
      </c>
      <c r="H45" s="11"/>
      <c r="I45" s="11"/>
    </row>
    <row r="46" spans="2:9" ht="27.6" x14ac:dyDescent="0.25">
      <c r="B46" s="13">
        <v>28</v>
      </c>
      <c r="C46" s="14" t="s">
        <v>96</v>
      </c>
      <c r="D46" s="17" t="s">
        <v>97</v>
      </c>
      <c r="E46" s="18"/>
      <c r="F46" s="29">
        <f>H43</f>
        <v>46313</v>
      </c>
      <c r="G46" s="18">
        <v>5</v>
      </c>
      <c r="H46" s="28">
        <f t="shared" si="0"/>
        <v>46318</v>
      </c>
      <c r="I46" s="18"/>
    </row>
    <row r="47" spans="2:9" ht="28.5" customHeight="1" x14ac:dyDescent="0.25">
      <c r="B47" s="5" t="s">
        <v>98</v>
      </c>
      <c r="C47" s="6" t="s">
        <v>99</v>
      </c>
      <c r="D47" s="7"/>
      <c r="E47" s="7" t="s">
        <v>10</v>
      </c>
      <c r="F47" s="7"/>
      <c r="G47" s="7"/>
      <c r="H47" s="7"/>
      <c r="I47" s="7"/>
    </row>
    <row r="48" spans="2:9" ht="27" customHeight="1" x14ac:dyDescent="0.25">
      <c r="B48" s="8" t="s">
        <v>100</v>
      </c>
      <c r="C48" s="9" t="s">
        <v>101</v>
      </c>
      <c r="D48" s="10"/>
      <c r="E48" s="11"/>
      <c r="F48" s="11"/>
      <c r="G48" s="12">
        <f>SUM(G49:G59)</f>
        <v>81</v>
      </c>
      <c r="H48" s="11"/>
      <c r="I48" s="11"/>
    </row>
    <row r="49" spans="2:9" ht="27" customHeight="1" x14ac:dyDescent="0.25">
      <c r="B49" s="13"/>
      <c r="C49" s="14" t="s">
        <v>102</v>
      </c>
      <c r="D49" s="17" t="s">
        <v>103</v>
      </c>
      <c r="E49" s="18"/>
      <c r="F49" s="29">
        <f>H43</f>
        <v>46313</v>
      </c>
      <c r="G49" s="18">
        <v>2</v>
      </c>
      <c r="H49" s="29">
        <f t="shared" si="0"/>
        <v>46315</v>
      </c>
      <c r="I49" s="18"/>
    </row>
    <row r="50" spans="2:9" ht="48.75" customHeight="1" x14ac:dyDescent="0.25">
      <c r="B50" s="13"/>
      <c r="C50" s="14" t="s">
        <v>104</v>
      </c>
      <c r="D50" s="17" t="s">
        <v>105</v>
      </c>
      <c r="E50" s="18"/>
      <c r="F50" s="29">
        <f t="shared" ref="F50:F59" si="1">H49</f>
        <v>46315</v>
      </c>
      <c r="G50" s="18">
        <v>5</v>
      </c>
      <c r="H50" s="29">
        <f t="shared" si="0"/>
        <v>46320</v>
      </c>
      <c r="I50" s="18"/>
    </row>
    <row r="51" spans="2:9" ht="37.5" customHeight="1" x14ac:dyDescent="0.25">
      <c r="B51" s="13"/>
      <c r="C51" s="14" t="s">
        <v>106</v>
      </c>
      <c r="D51" s="17" t="s">
        <v>107</v>
      </c>
      <c r="E51" s="18"/>
      <c r="F51" s="29">
        <f t="shared" si="1"/>
        <v>46320</v>
      </c>
      <c r="G51" s="18">
        <v>10</v>
      </c>
      <c r="H51" s="29">
        <f t="shared" si="0"/>
        <v>46330</v>
      </c>
      <c r="I51" s="18"/>
    </row>
    <row r="52" spans="2:9" ht="34.5" customHeight="1" x14ac:dyDescent="0.25">
      <c r="B52" s="24"/>
      <c r="C52" s="25" t="s">
        <v>108</v>
      </c>
      <c r="D52" s="26" t="s">
        <v>109</v>
      </c>
      <c r="E52" s="27"/>
      <c r="F52" s="29">
        <f t="shared" si="1"/>
        <v>46330</v>
      </c>
      <c r="G52" s="27">
        <v>20</v>
      </c>
      <c r="H52" s="29">
        <f t="shared" si="0"/>
        <v>46350</v>
      </c>
      <c r="I52" s="27"/>
    </row>
    <row r="53" spans="2:9" ht="34.5" customHeight="1" x14ac:dyDescent="0.25">
      <c r="B53" s="24"/>
      <c r="C53" s="25" t="s">
        <v>110</v>
      </c>
      <c r="D53" s="26" t="s">
        <v>111</v>
      </c>
      <c r="E53" s="27"/>
      <c r="F53" s="29">
        <f t="shared" si="1"/>
        <v>46350</v>
      </c>
      <c r="G53" s="27">
        <v>3</v>
      </c>
      <c r="H53" s="29">
        <f t="shared" si="0"/>
        <v>46353</v>
      </c>
      <c r="I53" s="27"/>
    </row>
    <row r="54" spans="2:9" ht="34.5" customHeight="1" x14ac:dyDescent="0.25">
      <c r="B54" s="24"/>
      <c r="C54" s="25" t="s">
        <v>112</v>
      </c>
      <c r="D54" s="26" t="s">
        <v>113</v>
      </c>
      <c r="E54" s="27"/>
      <c r="F54" s="29">
        <f t="shared" si="1"/>
        <v>46353</v>
      </c>
      <c r="G54" s="27">
        <v>2</v>
      </c>
      <c r="H54" s="29">
        <f t="shared" si="0"/>
        <v>46355</v>
      </c>
      <c r="I54" s="27"/>
    </row>
    <row r="55" spans="2:9" ht="34.5" customHeight="1" x14ac:dyDescent="0.25">
      <c r="B55" s="24"/>
      <c r="C55" s="25" t="s">
        <v>114</v>
      </c>
      <c r="D55" s="26" t="s">
        <v>115</v>
      </c>
      <c r="E55" s="27"/>
      <c r="F55" s="29">
        <f t="shared" si="1"/>
        <v>46355</v>
      </c>
      <c r="G55" s="27">
        <v>2</v>
      </c>
      <c r="H55" s="29">
        <f t="shared" si="0"/>
        <v>46357</v>
      </c>
      <c r="I55" s="27"/>
    </row>
    <row r="56" spans="2:9" ht="37.5" customHeight="1" x14ac:dyDescent="0.25">
      <c r="B56" s="24"/>
      <c r="C56" s="25" t="s">
        <v>116</v>
      </c>
      <c r="D56" s="26" t="s">
        <v>117</v>
      </c>
      <c r="E56" s="27"/>
      <c r="F56" s="29">
        <f t="shared" si="1"/>
        <v>46357</v>
      </c>
      <c r="G56" s="27">
        <v>1</v>
      </c>
      <c r="H56" s="29">
        <f t="shared" si="0"/>
        <v>46358</v>
      </c>
      <c r="I56" s="27"/>
    </row>
    <row r="57" spans="2:9" ht="47.25" customHeight="1" x14ac:dyDescent="0.25">
      <c r="B57" s="13"/>
      <c r="C57" s="14" t="s">
        <v>118</v>
      </c>
      <c r="D57" s="17" t="s">
        <v>119</v>
      </c>
      <c r="E57" s="18"/>
      <c r="F57" s="29">
        <f t="shared" si="1"/>
        <v>46358</v>
      </c>
      <c r="G57" s="18">
        <v>1</v>
      </c>
      <c r="H57" s="29">
        <f t="shared" si="0"/>
        <v>46359</v>
      </c>
      <c r="I57" s="18"/>
    </row>
    <row r="58" spans="2:9" ht="33" customHeight="1" x14ac:dyDescent="0.25">
      <c r="B58" s="13"/>
      <c r="C58" s="14" t="s">
        <v>120</v>
      </c>
      <c r="D58" s="17" t="s">
        <v>121</v>
      </c>
      <c r="E58" s="18"/>
      <c r="F58" s="29">
        <f t="shared" si="1"/>
        <v>46359</v>
      </c>
      <c r="G58" s="18">
        <v>5</v>
      </c>
      <c r="H58" s="29">
        <f t="shared" si="0"/>
        <v>46364</v>
      </c>
      <c r="I58" s="18"/>
    </row>
    <row r="59" spans="2:9" ht="27.75" customHeight="1" x14ac:dyDescent="0.25">
      <c r="B59" s="13"/>
      <c r="C59" s="14" t="s">
        <v>122</v>
      </c>
      <c r="D59" s="17" t="s">
        <v>123</v>
      </c>
      <c r="E59" s="18"/>
      <c r="F59" s="29">
        <f t="shared" si="1"/>
        <v>46364</v>
      </c>
      <c r="G59" s="18">
        <v>30</v>
      </c>
      <c r="H59" s="29">
        <f t="shared" si="0"/>
        <v>46394</v>
      </c>
      <c r="I59" s="18"/>
    </row>
    <row r="60" spans="2:9" x14ac:dyDescent="0.25">
      <c r="B60" s="8" t="s">
        <v>124</v>
      </c>
      <c r="C60" s="9" t="s">
        <v>125</v>
      </c>
      <c r="D60" s="10"/>
      <c r="E60" s="11"/>
      <c r="F60" s="11"/>
      <c r="G60" s="12">
        <v>10</v>
      </c>
      <c r="H60" s="11"/>
      <c r="I60" s="11"/>
    </row>
    <row r="61" spans="2:9" ht="26.25" customHeight="1" x14ac:dyDescent="0.25">
      <c r="B61" s="13"/>
      <c r="C61" s="14" t="s">
        <v>126</v>
      </c>
      <c r="D61" s="17" t="s">
        <v>127</v>
      </c>
      <c r="E61" s="18"/>
      <c r="F61" s="29">
        <f>H58</f>
        <v>46364</v>
      </c>
      <c r="G61" s="18">
        <v>10</v>
      </c>
      <c r="H61" s="29">
        <f t="shared" si="0"/>
        <v>46374</v>
      </c>
      <c r="I61" s="18"/>
    </row>
    <row r="62" spans="2:9" x14ac:dyDescent="0.25">
      <c r="B62" s="13"/>
      <c r="C62" s="14"/>
      <c r="D62" s="17"/>
      <c r="E62" s="18"/>
      <c r="F62" s="18"/>
      <c r="G62" s="18"/>
      <c r="H62" s="18"/>
      <c r="I62" s="18"/>
    </row>
  </sheetData>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95"/>
  <sheetViews>
    <sheetView workbookViewId="0">
      <selection activeCell="E10" sqref="E10"/>
    </sheetView>
  </sheetViews>
  <sheetFormatPr defaultColWidth="9.109375" defaultRowHeight="13.8" x14ac:dyDescent="0.25"/>
  <cols>
    <col min="1" max="2" width="9.109375" style="1"/>
    <col min="3" max="3" width="38" style="1" customWidth="1"/>
    <col min="4" max="4" width="48.109375" style="1" customWidth="1"/>
    <col min="5" max="5" width="49.6640625" style="2" customWidth="1"/>
    <col min="6" max="6" width="13.44140625" style="2" customWidth="1"/>
    <col min="7" max="8" width="11.88671875" style="2" customWidth="1"/>
    <col min="9" max="9" width="18.6640625" style="3" customWidth="1"/>
    <col min="10" max="16384" width="9.109375" style="1"/>
  </cols>
  <sheetData>
    <row r="2" spans="2:9" ht="29.25" customHeight="1" x14ac:dyDescent="0.25">
      <c r="B2" s="30" t="s">
        <v>0</v>
      </c>
      <c r="C2" s="30" t="s">
        <v>1</v>
      </c>
      <c r="D2" s="30" t="s">
        <v>2</v>
      </c>
      <c r="E2" s="30" t="s">
        <v>3</v>
      </c>
      <c r="F2" s="30" t="s">
        <v>4</v>
      </c>
      <c r="G2" s="30" t="s">
        <v>5</v>
      </c>
      <c r="H2" s="30" t="s">
        <v>6</v>
      </c>
      <c r="I2" s="30" t="s">
        <v>7</v>
      </c>
    </row>
    <row r="3" spans="2:9" x14ac:dyDescent="0.25">
      <c r="B3" s="5" t="s">
        <v>8</v>
      </c>
      <c r="C3" s="6" t="s">
        <v>128</v>
      </c>
      <c r="D3" s="7"/>
      <c r="E3" s="7"/>
      <c r="F3" s="7"/>
      <c r="G3" s="7"/>
      <c r="H3" s="7"/>
      <c r="I3" s="7"/>
    </row>
    <row r="4" spans="2:9" x14ac:dyDescent="0.25">
      <c r="B4" s="8" t="s">
        <v>11</v>
      </c>
      <c r="C4" s="9" t="s">
        <v>129</v>
      </c>
      <c r="D4" s="10"/>
      <c r="E4" s="11"/>
      <c r="F4" s="11"/>
      <c r="G4" s="12">
        <f>SUM(G5:G7)</f>
        <v>35</v>
      </c>
      <c r="H4" s="11"/>
      <c r="I4" s="11"/>
    </row>
    <row r="5" spans="2:9" ht="51.75" customHeight="1" x14ac:dyDescent="0.25">
      <c r="B5" s="13">
        <v>1</v>
      </c>
      <c r="C5" s="14" t="s">
        <v>130</v>
      </c>
      <c r="D5" s="15" t="s">
        <v>131</v>
      </c>
      <c r="E5" s="14"/>
      <c r="F5" s="14"/>
      <c r="G5" s="16">
        <v>5</v>
      </c>
      <c r="H5" s="14"/>
      <c r="I5" s="16" t="s">
        <v>15</v>
      </c>
    </row>
    <row r="6" spans="2:9" ht="55.2" x14ac:dyDescent="0.25">
      <c r="B6" s="13">
        <v>2</v>
      </c>
      <c r="C6" s="14" t="s">
        <v>132</v>
      </c>
      <c r="D6" s="15" t="s">
        <v>133</v>
      </c>
      <c r="E6" s="14"/>
      <c r="F6" s="14"/>
      <c r="G6" s="16">
        <v>15</v>
      </c>
      <c r="H6" s="14"/>
      <c r="I6" s="16" t="s">
        <v>15</v>
      </c>
    </row>
    <row r="7" spans="2:9" ht="37.5" customHeight="1" x14ac:dyDescent="0.25">
      <c r="B7" s="13">
        <v>3</v>
      </c>
      <c r="C7" s="14" t="s">
        <v>134</v>
      </c>
      <c r="D7" s="15" t="s">
        <v>135</v>
      </c>
      <c r="E7" s="14"/>
      <c r="F7" s="14"/>
      <c r="G7" s="16">
        <v>15</v>
      </c>
      <c r="H7" s="14"/>
      <c r="I7" s="16" t="s">
        <v>15</v>
      </c>
    </row>
    <row r="8" spans="2:9" x14ac:dyDescent="0.25">
      <c r="B8" s="8" t="s">
        <v>18</v>
      </c>
      <c r="C8" s="9" t="s">
        <v>136</v>
      </c>
      <c r="D8" s="10"/>
      <c r="E8" s="11" t="s">
        <v>137</v>
      </c>
      <c r="F8" s="11"/>
      <c r="G8" s="12">
        <f>SUM(G9:G12)</f>
        <v>30</v>
      </c>
      <c r="H8" s="11"/>
      <c r="I8" s="11"/>
    </row>
    <row r="9" spans="2:9" ht="63.75" customHeight="1" x14ac:dyDescent="0.25">
      <c r="B9" s="13">
        <v>4</v>
      </c>
      <c r="C9" s="14" t="s">
        <v>138</v>
      </c>
      <c r="D9" s="17" t="s">
        <v>139</v>
      </c>
      <c r="E9" s="18" t="s">
        <v>140</v>
      </c>
      <c r="F9" s="18"/>
      <c r="G9" s="18">
        <v>5</v>
      </c>
      <c r="H9" s="18"/>
      <c r="I9" s="16" t="s">
        <v>15</v>
      </c>
    </row>
    <row r="10" spans="2:9" ht="27.6" x14ac:dyDescent="0.25">
      <c r="B10" s="13">
        <v>5</v>
      </c>
      <c r="C10" s="14" t="s">
        <v>141</v>
      </c>
      <c r="D10" s="17" t="s">
        <v>142</v>
      </c>
      <c r="E10" s="18" t="s">
        <v>140</v>
      </c>
      <c r="F10" s="18"/>
      <c r="G10" s="18">
        <v>5</v>
      </c>
      <c r="H10" s="18"/>
      <c r="I10" s="16" t="s">
        <v>15</v>
      </c>
    </row>
    <row r="11" spans="2:9" ht="21" customHeight="1" x14ac:dyDescent="0.25">
      <c r="B11" s="13">
        <v>6</v>
      </c>
      <c r="C11" s="14" t="s">
        <v>143</v>
      </c>
      <c r="D11" s="17" t="s">
        <v>144</v>
      </c>
      <c r="E11" s="18"/>
      <c r="F11" s="18"/>
      <c r="G11" s="18">
        <v>15</v>
      </c>
      <c r="H11" s="18"/>
      <c r="I11" s="16" t="s">
        <v>15</v>
      </c>
    </row>
    <row r="12" spans="2:9" ht="41.4" x14ac:dyDescent="0.25">
      <c r="B12" s="13">
        <v>7</v>
      </c>
      <c r="C12" s="14" t="s">
        <v>145</v>
      </c>
      <c r="D12" s="17" t="s">
        <v>146</v>
      </c>
      <c r="E12" s="18" t="s">
        <v>140</v>
      </c>
      <c r="F12" s="18"/>
      <c r="G12" s="18">
        <v>5</v>
      </c>
      <c r="H12" s="18"/>
      <c r="I12" s="16" t="s">
        <v>15</v>
      </c>
    </row>
    <row r="13" spans="2:9" x14ac:dyDescent="0.25">
      <c r="B13" s="8" t="s">
        <v>24</v>
      </c>
      <c r="C13" s="9" t="s">
        <v>147</v>
      </c>
      <c r="D13" s="10"/>
      <c r="E13" s="11" t="s">
        <v>148</v>
      </c>
      <c r="F13" s="11"/>
      <c r="G13" s="12">
        <f>SUM(G14:G16)</f>
        <v>59</v>
      </c>
      <c r="H13" s="11"/>
      <c r="I13" s="11"/>
    </row>
    <row r="14" spans="2:9" ht="123.75" customHeight="1" x14ac:dyDescent="0.25">
      <c r="B14" s="13">
        <v>8</v>
      </c>
      <c r="C14" s="14" t="s">
        <v>149</v>
      </c>
      <c r="D14" s="17" t="s">
        <v>150</v>
      </c>
      <c r="E14" s="18"/>
      <c r="F14" s="29">
        <v>46296</v>
      </c>
      <c r="G14" s="18">
        <v>20</v>
      </c>
      <c r="H14" s="29">
        <f t="shared" ref="H14:H76" si="0">F14+G14</f>
        <v>46316</v>
      </c>
      <c r="I14" s="18"/>
    </row>
    <row r="15" spans="2:9" ht="63.75" customHeight="1" x14ac:dyDescent="0.25">
      <c r="B15" s="13">
        <v>9</v>
      </c>
      <c r="C15" s="14" t="s">
        <v>151</v>
      </c>
      <c r="D15" s="17" t="s">
        <v>152</v>
      </c>
      <c r="E15" s="18"/>
      <c r="F15" s="29">
        <f t="shared" ref="F15:F16" si="1">H14</f>
        <v>46316</v>
      </c>
      <c r="G15" s="18">
        <v>32</v>
      </c>
      <c r="H15" s="29">
        <f t="shared" si="0"/>
        <v>46348</v>
      </c>
      <c r="I15" s="18"/>
    </row>
    <row r="16" spans="2:9" ht="41.25" customHeight="1" x14ac:dyDescent="0.25">
      <c r="B16" s="13">
        <v>10</v>
      </c>
      <c r="C16" s="14" t="s">
        <v>153</v>
      </c>
      <c r="D16" s="17" t="s">
        <v>154</v>
      </c>
      <c r="E16" s="18"/>
      <c r="F16" s="29">
        <f t="shared" si="1"/>
        <v>46348</v>
      </c>
      <c r="G16" s="18">
        <v>7</v>
      </c>
      <c r="H16" s="29">
        <f t="shared" si="0"/>
        <v>46355</v>
      </c>
      <c r="I16" s="18"/>
    </row>
    <row r="17" spans="2:9" ht="27.6" x14ac:dyDescent="0.25">
      <c r="B17" s="8" t="s">
        <v>27</v>
      </c>
      <c r="C17" s="9" t="s">
        <v>155</v>
      </c>
      <c r="D17" s="10"/>
      <c r="E17" s="11" t="s">
        <v>156</v>
      </c>
      <c r="F17" s="11"/>
      <c r="G17" s="12">
        <f>SUM(G18:G32)</f>
        <v>169</v>
      </c>
      <c r="H17" s="11"/>
      <c r="I17" s="11"/>
    </row>
    <row r="18" spans="2:9" ht="21.75" customHeight="1" x14ac:dyDescent="0.25">
      <c r="B18" s="13">
        <v>11</v>
      </c>
      <c r="C18" s="14" t="s">
        <v>157</v>
      </c>
      <c r="D18" s="14" t="s">
        <v>158</v>
      </c>
      <c r="E18" s="18"/>
      <c r="F18" s="18"/>
      <c r="G18" s="18">
        <v>1</v>
      </c>
      <c r="H18" s="18"/>
      <c r="I18" s="16" t="s">
        <v>15</v>
      </c>
    </row>
    <row r="19" spans="2:9" x14ac:dyDescent="0.25">
      <c r="B19" s="13">
        <v>12</v>
      </c>
      <c r="C19" s="14" t="s">
        <v>159</v>
      </c>
      <c r="D19" s="14" t="s">
        <v>160</v>
      </c>
      <c r="E19" s="18"/>
      <c r="F19" s="18"/>
      <c r="G19" s="18">
        <v>5</v>
      </c>
      <c r="H19" s="18"/>
      <c r="I19" s="16" t="s">
        <v>15</v>
      </c>
    </row>
    <row r="20" spans="2:9" ht="38.25" customHeight="1" x14ac:dyDescent="0.25">
      <c r="B20" s="13">
        <v>13</v>
      </c>
      <c r="C20" s="14" t="s">
        <v>161</v>
      </c>
      <c r="D20" s="17" t="s">
        <v>162</v>
      </c>
      <c r="E20" s="18" t="s">
        <v>163</v>
      </c>
      <c r="F20" s="18"/>
      <c r="G20" s="18">
        <v>30</v>
      </c>
      <c r="H20" s="18"/>
      <c r="I20" s="16" t="s">
        <v>15</v>
      </c>
    </row>
    <row r="21" spans="2:9" ht="78" customHeight="1" x14ac:dyDescent="0.25">
      <c r="B21" s="13">
        <v>14</v>
      </c>
      <c r="C21" s="14" t="s">
        <v>164</v>
      </c>
      <c r="D21" s="17" t="s">
        <v>165</v>
      </c>
      <c r="E21" s="18"/>
      <c r="F21" s="18"/>
      <c r="G21" s="18">
        <v>30</v>
      </c>
      <c r="H21" s="18"/>
      <c r="I21" s="16" t="s">
        <v>15</v>
      </c>
    </row>
    <row r="22" spans="2:9" ht="33" customHeight="1" x14ac:dyDescent="0.25">
      <c r="B22" s="13">
        <v>15</v>
      </c>
      <c r="C22" s="14" t="s">
        <v>166</v>
      </c>
      <c r="D22" s="17" t="s">
        <v>167</v>
      </c>
      <c r="E22" s="18"/>
      <c r="F22" s="18"/>
      <c r="G22" s="18">
        <v>10</v>
      </c>
      <c r="H22" s="18"/>
      <c r="I22" s="16" t="s">
        <v>15</v>
      </c>
    </row>
    <row r="23" spans="2:9" ht="32.25" customHeight="1" x14ac:dyDescent="0.25">
      <c r="B23" s="13">
        <v>16</v>
      </c>
      <c r="C23" s="14" t="s">
        <v>168</v>
      </c>
      <c r="D23" s="17" t="s">
        <v>169</v>
      </c>
      <c r="E23" s="18"/>
      <c r="F23" s="18"/>
      <c r="G23" s="18">
        <v>1</v>
      </c>
      <c r="H23" s="18"/>
      <c r="I23" s="16" t="s">
        <v>15</v>
      </c>
    </row>
    <row r="24" spans="2:9" ht="32.25" customHeight="1" x14ac:dyDescent="0.25">
      <c r="B24" s="13">
        <v>17</v>
      </c>
      <c r="C24" s="14" t="s">
        <v>170</v>
      </c>
      <c r="D24" s="17" t="s">
        <v>171</v>
      </c>
      <c r="E24" s="18"/>
      <c r="F24" s="18"/>
      <c r="G24" s="18">
        <v>10</v>
      </c>
      <c r="H24" s="18"/>
      <c r="I24" s="16" t="s">
        <v>15</v>
      </c>
    </row>
    <row r="25" spans="2:9" ht="54" customHeight="1" x14ac:dyDescent="0.25">
      <c r="B25" s="13">
        <v>18</v>
      </c>
      <c r="C25" s="14" t="s">
        <v>172</v>
      </c>
      <c r="D25" s="17" t="s">
        <v>173</v>
      </c>
      <c r="E25" s="18" t="s">
        <v>163</v>
      </c>
      <c r="F25" s="18"/>
      <c r="G25" s="18">
        <v>10</v>
      </c>
      <c r="H25" s="18"/>
      <c r="I25" s="16" t="s">
        <v>15</v>
      </c>
    </row>
    <row r="26" spans="2:9" ht="31.5" customHeight="1" x14ac:dyDescent="0.25">
      <c r="B26" s="13">
        <v>19</v>
      </c>
      <c r="C26" s="14" t="s">
        <v>174</v>
      </c>
      <c r="D26" s="17" t="s">
        <v>175</v>
      </c>
      <c r="E26" s="18"/>
      <c r="F26" s="18"/>
      <c r="G26" s="18">
        <v>30</v>
      </c>
      <c r="H26" s="18"/>
      <c r="I26" s="16" t="s">
        <v>15</v>
      </c>
    </row>
    <row r="27" spans="2:9" ht="30.75" customHeight="1" x14ac:dyDescent="0.25">
      <c r="B27" s="13">
        <v>20</v>
      </c>
      <c r="C27" s="14" t="s">
        <v>176</v>
      </c>
      <c r="D27" s="14" t="s">
        <v>177</v>
      </c>
      <c r="E27" s="18" t="s">
        <v>178</v>
      </c>
      <c r="F27" s="18"/>
      <c r="G27" s="18">
        <v>3</v>
      </c>
      <c r="H27" s="18"/>
      <c r="I27" s="16" t="s">
        <v>15</v>
      </c>
    </row>
    <row r="28" spans="2:9" ht="47.25" customHeight="1" x14ac:dyDescent="0.25">
      <c r="B28" s="13">
        <v>21</v>
      </c>
      <c r="C28" s="14" t="s">
        <v>179</v>
      </c>
      <c r="D28" s="14" t="s">
        <v>180</v>
      </c>
      <c r="E28" s="18"/>
      <c r="F28" s="18"/>
      <c r="G28" s="18">
        <v>3</v>
      </c>
      <c r="H28" s="18"/>
      <c r="I28" s="16" t="s">
        <v>15</v>
      </c>
    </row>
    <row r="29" spans="2:9" ht="110.25" customHeight="1" x14ac:dyDescent="0.25">
      <c r="B29" s="13">
        <v>22</v>
      </c>
      <c r="C29" s="14" t="s">
        <v>181</v>
      </c>
      <c r="D29" s="17" t="s">
        <v>182</v>
      </c>
      <c r="E29" s="18" t="s">
        <v>163</v>
      </c>
      <c r="F29" s="18"/>
      <c r="G29" s="18">
        <v>15</v>
      </c>
      <c r="H29" s="18"/>
      <c r="I29" s="16" t="s">
        <v>15</v>
      </c>
    </row>
    <row r="30" spans="2:9" ht="38.25" customHeight="1" x14ac:dyDescent="0.25">
      <c r="B30" s="13">
        <v>23</v>
      </c>
      <c r="C30" s="14" t="s">
        <v>183</v>
      </c>
      <c r="D30" s="17" t="s">
        <v>184</v>
      </c>
      <c r="E30" s="18" t="s">
        <v>163</v>
      </c>
      <c r="F30" s="18"/>
      <c r="G30" s="18">
        <v>15</v>
      </c>
      <c r="H30" s="18"/>
      <c r="I30" s="16" t="s">
        <v>15</v>
      </c>
    </row>
    <row r="31" spans="2:9" ht="34.5" customHeight="1" x14ac:dyDescent="0.25">
      <c r="B31" s="13">
        <v>24</v>
      </c>
      <c r="C31" s="14" t="s">
        <v>185</v>
      </c>
      <c r="D31" s="17" t="s">
        <v>186</v>
      </c>
      <c r="E31" s="18" t="s">
        <v>163</v>
      </c>
      <c r="F31" s="18"/>
      <c r="G31" s="18">
        <v>3</v>
      </c>
      <c r="H31" s="18"/>
      <c r="I31" s="16" t="s">
        <v>15</v>
      </c>
    </row>
    <row r="32" spans="2:9" ht="32.25" customHeight="1" x14ac:dyDescent="0.25">
      <c r="B32" s="13">
        <v>25</v>
      </c>
      <c r="C32" s="14" t="s">
        <v>187</v>
      </c>
      <c r="D32" s="17" t="s">
        <v>188</v>
      </c>
      <c r="E32" s="18"/>
      <c r="F32" s="18"/>
      <c r="G32" s="18">
        <v>3</v>
      </c>
      <c r="H32" s="18"/>
      <c r="I32" s="16" t="s">
        <v>15</v>
      </c>
    </row>
    <row r="33" spans="2:9" ht="27.6" x14ac:dyDescent="0.25">
      <c r="B33" s="8" t="s">
        <v>34</v>
      </c>
      <c r="C33" s="9" t="s">
        <v>189</v>
      </c>
      <c r="D33" s="10"/>
      <c r="E33" s="11" t="s">
        <v>190</v>
      </c>
      <c r="F33" s="11"/>
      <c r="G33" s="12">
        <v>32</v>
      </c>
      <c r="H33" s="11"/>
      <c r="I33" s="11"/>
    </row>
    <row r="34" spans="2:9" ht="47.25" customHeight="1" x14ac:dyDescent="0.25">
      <c r="B34" s="13">
        <v>26</v>
      </c>
      <c r="C34" s="14" t="s">
        <v>191</v>
      </c>
      <c r="D34" s="17" t="s">
        <v>192</v>
      </c>
      <c r="E34" s="18" t="s">
        <v>193</v>
      </c>
      <c r="F34" s="29">
        <f>H16</f>
        <v>46355</v>
      </c>
      <c r="G34" s="18">
        <v>15</v>
      </c>
      <c r="H34" s="29">
        <f t="shared" si="0"/>
        <v>46370</v>
      </c>
      <c r="I34" s="18"/>
    </row>
    <row r="35" spans="2:9" ht="48" customHeight="1" x14ac:dyDescent="0.25">
      <c r="B35" s="13">
        <v>27</v>
      </c>
      <c r="C35" s="14" t="s">
        <v>194</v>
      </c>
      <c r="D35" s="17" t="s">
        <v>192</v>
      </c>
      <c r="E35" s="18" t="s">
        <v>195</v>
      </c>
      <c r="F35" s="18"/>
      <c r="G35" s="18">
        <v>15</v>
      </c>
      <c r="H35" s="18"/>
      <c r="I35" s="18"/>
    </row>
    <row r="36" spans="2:9" ht="32.25" customHeight="1" x14ac:dyDescent="0.25">
      <c r="B36" s="13">
        <v>28</v>
      </c>
      <c r="C36" s="14" t="s">
        <v>196</v>
      </c>
      <c r="D36" s="17" t="s">
        <v>197</v>
      </c>
      <c r="E36" s="18"/>
      <c r="F36" s="29">
        <f>H34</f>
        <v>46370</v>
      </c>
      <c r="G36" s="18">
        <v>2</v>
      </c>
      <c r="H36" s="29">
        <f t="shared" si="0"/>
        <v>46372</v>
      </c>
      <c r="I36" s="18"/>
    </row>
    <row r="37" spans="2:9" ht="27.6" x14ac:dyDescent="0.25">
      <c r="B37" s="8" t="s">
        <v>49</v>
      </c>
      <c r="C37" s="9" t="s">
        <v>198</v>
      </c>
      <c r="D37" s="10"/>
      <c r="E37" s="11"/>
      <c r="F37" s="11"/>
      <c r="G37" s="12">
        <f>SUM(G38:G41)</f>
        <v>30</v>
      </c>
      <c r="H37" s="11"/>
      <c r="I37" s="11"/>
    </row>
    <row r="38" spans="2:9" ht="55.2" x14ac:dyDescent="0.25">
      <c r="B38" s="13">
        <v>29</v>
      </c>
      <c r="C38" s="14" t="s">
        <v>138</v>
      </c>
      <c r="D38" s="17" t="s">
        <v>199</v>
      </c>
      <c r="E38" s="18" t="s">
        <v>140</v>
      </c>
      <c r="F38" s="18"/>
      <c r="G38" s="18">
        <v>5</v>
      </c>
      <c r="H38" s="18"/>
      <c r="I38" s="16" t="s">
        <v>15</v>
      </c>
    </row>
    <row r="39" spans="2:9" ht="27.6" x14ac:dyDescent="0.25">
      <c r="B39" s="13">
        <v>30</v>
      </c>
      <c r="C39" s="14" t="s">
        <v>141</v>
      </c>
      <c r="D39" s="17" t="s">
        <v>200</v>
      </c>
      <c r="E39" s="18" t="s">
        <v>140</v>
      </c>
      <c r="F39" s="18"/>
      <c r="G39" s="18">
        <v>5</v>
      </c>
      <c r="H39" s="18"/>
      <c r="I39" s="16" t="s">
        <v>15</v>
      </c>
    </row>
    <row r="40" spans="2:9" x14ac:dyDescent="0.25">
      <c r="B40" s="13">
        <v>31</v>
      </c>
      <c r="C40" s="14" t="s">
        <v>143</v>
      </c>
      <c r="D40" s="17" t="s">
        <v>144</v>
      </c>
      <c r="E40" s="18"/>
      <c r="F40" s="18"/>
      <c r="G40" s="18">
        <v>15</v>
      </c>
      <c r="H40" s="18"/>
      <c r="I40" s="16" t="s">
        <v>15</v>
      </c>
    </row>
    <row r="41" spans="2:9" ht="41.4" x14ac:dyDescent="0.25">
      <c r="B41" s="13">
        <v>32</v>
      </c>
      <c r="C41" s="14" t="s">
        <v>145</v>
      </c>
      <c r="D41" s="17" t="s">
        <v>201</v>
      </c>
      <c r="E41" s="18" t="s">
        <v>140</v>
      </c>
      <c r="F41" s="18"/>
      <c r="G41" s="18">
        <v>5</v>
      </c>
      <c r="H41" s="18"/>
      <c r="I41" s="16" t="s">
        <v>15</v>
      </c>
    </row>
    <row r="42" spans="2:9" ht="28.5" customHeight="1" x14ac:dyDescent="0.25">
      <c r="B42" s="8" t="s">
        <v>54</v>
      </c>
      <c r="C42" s="9" t="s">
        <v>202</v>
      </c>
      <c r="D42" s="10"/>
      <c r="E42" s="11" t="s">
        <v>203</v>
      </c>
      <c r="F42" s="11"/>
      <c r="G42" s="12">
        <v>30</v>
      </c>
      <c r="H42" s="11"/>
      <c r="I42" s="11"/>
    </row>
    <row r="43" spans="2:9" ht="55.2" x14ac:dyDescent="0.25">
      <c r="B43" s="13">
        <v>33</v>
      </c>
      <c r="C43" s="14" t="s">
        <v>204</v>
      </c>
      <c r="D43" s="17" t="s">
        <v>205</v>
      </c>
      <c r="E43" s="18"/>
      <c r="F43" s="29">
        <v>46296</v>
      </c>
      <c r="G43" s="18">
        <v>30</v>
      </c>
      <c r="H43" s="29">
        <f t="shared" si="0"/>
        <v>46326</v>
      </c>
      <c r="I43" s="18"/>
    </row>
    <row r="44" spans="2:9" ht="55.2" x14ac:dyDescent="0.25">
      <c r="B44" s="13">
        <v>34</v>
      </c>
      <c r="C44" s="14" t="s">
        <v>206</v>
      </c>
      <c r="D44" s="17" t="s">
        <v>205</v>
      </c>
      <c r="E44" s="18"/>
      <c r="F44" s="29">
        <v>46296</v>
      </c>
      <c r="G44" s="18">
        <v>30</v>
      </c>
      <c r="H44" s="29">
        <f t="shared" si="0"/>
        <v>46326</v>
      </c>
      <c r="I44" s="18"/>
    </row>
    <row r="45" spans="2:9" ht="55.2" x14ac:dyDescent="0.25">
      <c r="B45" s="13">
        <v>35</v>
      </c>
      <c r="C45" s="14" t="s">
        <v>207</v>
      </c>
      <c r="D45" s="17" t="s">
        <v>205</v>
      </c>
      <c r="E45" s="18" t="s">
        <v>208</v>
      </c>
      <c r="F45" s="29">
        <v>46296</v>
      </c>
      <c r="G45" s="18">
        <v>30</v>
      </c>
      <c r="H45" s="29">
        <f t="shared" si="0"/>
        <v>46326</v>
      </c>
      <c r="I45" s="18" t="s">
        <v>209</v>
      </c>
    </row>
    <row r="46" spans="2:9" ht="55.2" x14ac:dyDescent="0.25">
      <c r="B46" s="13">
        <v>36</v>
      </c>
      <c r="C46" s="14" t="s">
        <v>210</v>
      </c>
      <c r="D46" s="17" t="s">
        <v>205</v>
      </c>
      <c r="E46" s="18"/>
      <c r="F46" s="29">
        <v>46296</v>
      </c>
      <c r="G46" s="18">
        <v>30</v>
      </c>
      <c r="H46" s="29">
        <f t="shared" si="0"/>
        <v>46326</v>
      </c>
      <c r="I46" s="18"/>
    </row>
    <row r="47" spans="2:9" ht="41.4" x14ac:dyDescent="0.25">
      <c r="B47" s="13">
        <v>37</v>
      </c>
      <c r="C47" s="14" t="s">
        <v>211</v>
      </c>
      <c r="D47" s="17" t="s">
        <v>212</v>
      </c>
      <c r="E47" s="18" t="s">
        <v>213</v>
      </c>
      <c r="F47" s="29">
        <v>46296</v>
      </c>
      <c r="G47" s="18">
        <v>30</v>
      </c>
      <c r="H47" s="29">
        <f t="shared" si="0"/>
        <v>46326</v>
      </c>
      <c r="I47" s="18"/>
    </row>
    <row r="48" spans="2:9" ht="27.6" x14ac:dyDescent="0.25">
      <c r="B48" s="8" t="s">
        <v>59</v>
      </c>
      <c r="C48" s="9" t="s">
        <v>214</v>
      </c>
      <c r="D48" s="10"/>
      <c r="E48" s="11"/>
      <c r="F48" s="11"/>
      <c r="G48" s="12">
        <f>SUM(G49:G52)</f>
        <v>125</v>
      </c>
      <c r="H48" s="11"/>
      <c r="I48" s="11"/>
    </row>
    <row r="49" spans="2:9" ht="77.25" customHeight="1" x14ac:dyDescent="0.25">
      <c r="B49" s="13">
        <v>38</v>
      </c>
      <c r="C49" s="14" t="s">
        <v>215</v>
      </c>
      <c r="D49" s="17" t="s">
        <v>216</v>
      </c>
      <c r="E49" s="18"/>
      <c r="F49" s="18"/>
      <c r="G49" s="18">
        <v>60</v>
      </c>
      <c r="H49" s="18"/>
      <c r="I49" s="18" t="s">
        <v>15</v>
      </c>
    </row>
    <row r="50" spans="2:9" ht="24.75" customHeight="1" x14ac:dyDescent="0.25">
      <c r="B50" s="13">
        <v>39</v>
      </c>
      <c r="C50" s="14" t="s">
        <v>217</v>
      </c>
      <c r="D50" s="17" t="s">
        <v>218</v>
      </c>
      <c r="E50" s="18"/>
      <c r="F50" s="18"/>
      <c r="G50" s="18">
        <v>30</v>
      </c>
      <c r="H50" s="18"/>
      <c r="I50" s="18" t="s">
        <v>15</v>
      </c>
    </row>
    <row r="51" spans="2:9" ht="38.25" customHeight="1" x14ac:dyDescent="0.25">
      <c r="B51" s="13">
        <v>40</v>
      </c>
      <c r="C51" s="14" t="s">
        <v>219</v>
      </c>
      <c r="D51" s="17" t="s">
        <v>220</v>
      </c>
      <c r="E51" s="18"/>
      <c r="F51" s="18"/>
      <c r="G51" s="18">
        <v>30</v>
      </c>
      <c r="H51" s="18"/>
      <c r="I51" s="18" t="s">
        <v>15</v>
      </c>
    </row>
    <row r="52" spans="2:9" ht="53.25" customHeight="1" x14ac:dyDescent="0.25">
      <c r="B52" s="13">
        <v>41</v>
      </c>
      <c r="C52" s="14" t="s">
        <v>221</v>
      </c>
      <c r="D52" s="17" t="s">
        <v>222</v>
      </c>
      <c r="E52" s="18" t="s">
        <v>223</v>
      </c>
      <c r="F52" s="18"/>
      <c r="G52" s="18">
        <v>5</v>
      </c>
      <c r="H52" s="18"/>
      <c r="I52" s="18" t="s">
        <v>15</v>
      </c>
    </row>
    <row r="53" spans="2:9" ht="27.6" x14ac:dyDescent="0.25">
      <c r="B53" s="8" t="s">
        <v>65</v>
      </c>
      <c r="C53" s="9" t="s">
        <v>224</v>
      </c>
      <c r="D53" s="10"/>
      <c r="E53" s="11"/>
      <c r="F53" s="11"/>
      <c r="G53" s="12">
        <v>2</v>
      </c>
      <c r="H53" s="11"/>
      <c r="I53" s="11"/>
    </row>
    <row r="54" spans="2:9" ht="27.6" x14ac:dyDescent="0.25">
      <c r="B54" s="13">
        <v>42</v>
      </c>
      <c r="C54" s="14" t="s">
        <v>224</v>
      </c>
      <c r="D54" s="17" t="s">
        <v>225</v>
      </c>
      <c r="E54" s="18" t="s">
        <v>226</v>
      </c>
      <c r="F54" s="18"/>
      <c r="G54" s="18">
        <v>2</v>
      </c>
      <c r="H54" s="18"/>
      <c r="I54" s="18" t="s">
        <v>15</v>
      </c>
    </row>
    <row r="55" spans="2:9" ht="27.6" x14ac:dyDescent="0.25">
      <c r="B55" s="8" t="s">
        <v>69</v>
      </c>
      <c r="C55" s="9" t="s">
        <v>227</v>
      </c>
      <c r="D55" s="10"/>
      <c r="E55" s="11" t="s">
        <v>228</v>
      </c>
      <c r="F55" s="11"/>
      <c r="G55" s="12">
        <v>10</v>
      </c>
      <c r="H55" s="11"/>
      <c r="I55" s="11"/>
    </row>
    <row r="56" spans="2:9" ht="52.5" customHeight="1" x14ac:dyDescent="0.25">
      <c r="B56" s="13">
        <v>43</v>
      </c>
      <c r="C56" s="14" t="s">
        <v>229</v>
      </c>
      <c r="D56" s="17" t="s">
        <v>230</v>
      </c>
      <c r="E56" s="18" t="s">
        <v>231</v>
      </c>
      <c r="F56" s="29">
        <v>46327</v>
      </c>
      <c r="G56" s="18">
        <v>10</v>
      </c>
      <c r="H56" s="29">
        <f t="shared" si="0"/>
        <v>46337</v>
      </c>
      <c r="I56" s="18"/>
    </row>
    <row r="57" spans="2:9" ht="47.25" customHeight="1" x14ac:dyDescent="0.25">
      <c r="B57" s="13">
        <v>44</v>
      </c>
      <c r="C57" s="14" t="s">
        <v>232</v>
      </c>
      <c r="D57" s="17" t="s">
        <v>233</v>
      </c>
      <c r="E57" s="18" t="s">
        <v>234</v>
      </c>
      <c r="F57" s="18"/>
      <c r="G57" s="18">
        <v>10</v>
      </c>
      <c r="H57" s="18"/>
      <c r="I57" s="18"/>
    </row>
    <row r="58" spans="2:9" ht="63" customHeight="1" x14ac:dyDescent="0.25">
      <c r="B58" s="13">
        <v>45</v>
      </c>
      <c r="C58" s="14" t="s">
        <v>235</v>
      </c>
      <c r="D58" s="17" t="s">
        <v>236</v>
      </c>
      <c r="E58" s="18" t="s">
        <v>237</v>
      </c>
      <c r="F58" s="18"/>
      <c r="G58" s="18">
        <v>10</v>
      </c>
      <c r="H58" s="18"/>
      <c r="I58" s="18"/>
    </row>
    <row r="59" spans="2:9" x14ac:dyDescent="0.25">
      <c r="B59" s="5" t="s">
        <v>98</v>
      </c>
      <c r="C59" s="6" t="s">
        <v>238</v>
      </c>
      <c r="D59" s="7"/>
      <c r="E59" s="7"/>
      <c r="F59" s="7"/>
      <c r="G59" s="7"/>
      <c r="H59" s="7"/>
      <c r="I59" s="7"/>
    </row>
    <row r="60" spans="2:9" ht="41.4" x14ac:dyDescent="0.25">
      <c r="B60" s="8" t="s">
        <v>100</v>
      </c>
      <c r="C60" s="9" t="s">
        <v>239</v>
      </c>
      <c r="D60" s="10"/>
      <c r="E60" s="11"/>
      <c r="F60" s="11"/>
      <c r="G60" s="12">
        <f>SUM(G61:G64)</f>
        <v>30</v>
      </c>
      <c r="H60" s="11"/>
      <c r="I60" s="11"/>
    </row>
    <row r="61" spans="2:9" ht="41.4" x14ac:dyDescent="0.25">
      <c r="B61" s="13">
        <v>46</v>
      </c>
      <c r="C61" s="14" t="s">
        <v>138</v>
      </c>
      <c r="D61" s="17" t="s">
        <v>240</v>
      </c>
      <c r="E61" s="18" t="s">
        <v>140</v>
      </c>
      <c r="F61" s="18"/>
      <c r="G61" s="18">
        <v>5</v>
      </c>
      <c r="H61" s="18"/>
      <c r="I61" s="18" t="s">
        <v>15</v>
      </c>
    </row>
    <row r="62" spans="2:9" ht="27.6" x14ac:dyDescent="0.25">
      <c r="B62" s="13">
        <v>47</v>
      </c>
      <c r="C62" s="14" t="s">
        <v>141</v>
      </c>
      <c r="D62" s="17" t="s">
        <v>241</v>
      </c>
      <c r="E62" s="18" t="s">
        <v>140</v>
      </c>
      <c r="F62" s="18"/>
      <c r="G62" s="18">
        <v>5</v>
      </c>
      <c r="H62" s="18"/>
      <c r="I62" s="18" t="s">
        <v>15</v>
      </c>
    </row>
    <row r="63" spans="2:9" x14ac:dyDescent="0.25">
      <c r="B63" s="13">
        <v>48</v>
      </c>
      <c r="C63" s="14" t="s">
        <v>143</v>
      </c>
      <c r="D63" s="17" t="s">
        <v>144</v>
      </c>
      <c r="E63" s="18"/>
      <c r="F63" s="18"/>
      <c r="G63" s="18">
        <v>15</v>
      </c>
      <c r="H63" s="18"/>
      <c r="I63" s="18" t="s">
        <v>15</v>
      </c>
    </row>
    <row r="64" spans="2:9" ht="41.4" x14ac:dyDescent="0.25">
      <c r="B64" s="13">
        <v>49</v>
      </c>
      <c r="C64" s="14" t="s">
        <v>145</v>
      </c>
      <c r="D64" s="17" t="s">
        <v>242</v>
      </c>
      <c r="E64" s="18" t="s">
        <v>140</v>
      </c>
      <c r="F64" s="18"/>
      <c r="G64" s="18">
        <v>5</v>
      </c>
      <c r="H64" s="18"/>
      <c r="I64" s="18" t="s">
        <v>15</v>
      </c>
    </row>
    <row r="65" spans="2:9" ht="41.4" x14ac:dyDescent="0.25">
      <c r="B65" s="8" t="s">
        <v>124</v>
      </c>
      <c r="C65" s="9" t="s">
        <v>243</v>
      </c>
      <c r="D65" s="10"/>
      <c r="E65" s="11" t="s">
        <v>244</v>
      </c>
      <c r="F65" s="11"/>
      <c r="G65" s="12">
        <f>SUM(G66:G70)</f>
        <v>163</v>
      </c>
      <c r="H65" s="11"/>
      <c r="I65" s="11"/>
    </row>
    <row r="66" spans="2:9" ht="80.25" customHeight="1" x14ac:dyDescent="0.25">
      <c r="B66" s="13">
        <v>50</v>
      </c>
      <c r="C66" s="14" t="s">
        <v>245</v>
      </c>
      <c r="D66" s="17" t="s">
        <v>246</v>
      </c>
      <c r="E66" s="18"/>
      <c r="F66" s="18"/>
      <c r="G66" s="18">
        <v>90</v>
      </c>
      <c r="H66" s="29">
        <v>46325</v>
      </c>
      <c r="I66" s="18" t="s">
        <v>247</v>
      </c>
    </row>
    <row r="67" spans="2:9" ht="36.75" customHeight="1" x14ac:dyDescent="0.25">
      <c r="B67" s="13">
        <v>51</v>
      </c>
      <c r="C67" s="14" t="s">
        <v>248</v>
      </c>
      <c r="D67" s="17" t="s">
        <v>249</v>
      </c>
      <c r="E67" s="18" t="s">
        <v>250</v>
      </c>
      <c r="F67" s="29">
        <f t="shared" ref="F67:F70" si="2">H66</f>
        <v>46325</v>
      </c>
      <c r="G67" s="18">
        <v>30</v>
      </c>
      <c r="H67" s="29">
        <f t="shared" si="0"/>
        <v>46355</v>
      </c>
      <c r="I67" s="18"/>
    </row>
    <row r="68" spans="2:9" ht="96" customHeight="1" x14ac:dyDescent="0.25">
      <c r="B68" s="13">
        <v>52</v>
      </c>
      <c r="C68" s="14" t="s">
        <v>251</v>
      </c>
      <c r="D68" s="17" t="s">
        <v>252</v>
      </c>
      <c r="E68" s="18"/>
      <c r="F68" s="29">
        <f t="shared" si="2"/>
        <v>46355</v>
      </c>
      <c r="G68" s="18">
        <v>30</v>
      </c>
      <c r="H68" s="29">
        <f t="shared" si="0"/>
        <v>46385</v>
      </c>
      <c r="I68" s="18"/>
    </row>
    <row r="69" spans="2:9" ht="53.25" customHeight="1" x14ac:dyDescent="0.25">
      <c r="B69" s="13">
        <v>53</v>
      </c>
      <c r="C69" s="14" t="s">
        <v>253</v>
      </c>
      <c r="D69" s="17" t="s">
        <v>254</v>
      </c>
      <c r="E69" s="18" t="s">
        <v>255</v>
      </c>
      <c r="F69" s="29">
        <f t="shared" si="2"/>
        <v>46385</v>
      </c>
      <c r="G69" s="18">
        <v>10</v>
      </c>
      <c r="H69" s="29">
        <f t="shared" si="0"/>
        <v>46395</v>
      </c>
      <c r="I69" s="18"/>
    </row>
    <row r="70" spans="2:9" ht="69.75" customHeight="1" x14ac:dyDescent="0.25">
      <c r="B70" s="13">
        <v>54</v>
      </c>
      <c r="C70" s="14" t="s">
        <v>256</v>
      </c>
      <c r="D70" s="17" t="s">
        <v>257</v>
      </c>
      <c r="E70" s="18" t="s">
        <v>258</v>
      </c>
      <c r="F70" s="29">
        <f t="shared" si="2"/>
        <v>46395</v>
      </c>
      <c r="G70" s="18">
        <v>3</v>
      </c>
      <c r="H70" s="29">
        <f t="shared" si="0"/>
        <v>46398</v>
      </c>
      <c r="I70" s="18"/>
    </row>
    <row r="71" spans="2:9" ht="27.6" x14ac:dyDescent="0.25">
      <c r="B71" s="8" t="s">
        <v>259</v>
      </c>
      <c r="C71" s="9" t="s">
        <v>260</v>
      </c>
      <c r="D71" s="10"/>
      <c r="E71" s="11" t="s">
        <v>244</v>
      </c>
      <c r="F71" s="11"/>
      <c r="G71" s="12">
        <f>SUM(G72:G74)</f>
        <v>50</v>
      </c>
      <c r="H71" s="11"/>
      <c r="I71" s="11"/>
    </row>
    <row r="72" spans="2:9" ht="227.25" customHeight="1" x14ac:dyDescent="0.25">
      <c r="B72" s="13">
        <v>55</v>
      </c>
      <c r="C72" s="14" t="s">
        <v>261</v>
      </c>
      <c r="D72" s="17" t="s">
        <v>262</v>
      </c>
      <c r="E72" s="18" t="s">
        <v>263</v>
      </c>
      <c r="F72" s="29">
        <f>H68</f>
        <v>46385</v>
      </c>
      <c r="G72" s="18">
        <v>30</v>
      </c>
      <c r="H72" s="29">
        <f t="shared" si="0"/>
        <v>46415</v>
      </c>
      <c r="I72" s="18"/>
    </row>
    <row r="73" spans="2:9" ht="72" customHeight="1" x14ac:dyDescent="0.25">
      <c r="B73" s="13">
        <v>56</v>
      </c>
      <c r="C73" s="14" t="s">
        <v>264</v>
      </c>
      <c r="D73" s="17" t="s">
        <v>265</v>
      </c>
      <c r="E73" s="18" t="s">
        <v>266</v>
      </c>
      <c r="F73" s="29">
        <f t="shared" ref="F73:F74" si="3">H72</f>
        <v>46415</v>
      </c>
      <c r="G73" s="18">
        <v>15</v>
      </c>
      <c r="H73" s="29">
        <f t="shared" si="0"/>
        <v>46430</v>
      </c>
      <c r="I73" s="18"/>
    </row>
    <row r="74" spans="2:9" ht="46.5" customHeight="1" x14ac:dyDescent="0.25">
      <c r="B74" s="13">
        <v>57</v>
      </c>
      <c r="C74" s="14" t="s">
        <v>267</v>
      </c>
      <c r="D74" s="17" t="s">
        <v>268</v>
      </c>
      <c r="E74" s="18" t="s">
        <v>266</v>
      </c>
      <c r="F74" s="29">
        <f t="shared" si="3"/>
        <v>46430</v>
      </c>
      <c r="G74" s="18">
        <v>5</v>
      </c>
      <c r="H74" s="29">
        <f t="shared" si="0"/>
        <v>46435</v>
      </c>
      <c r="I74" s="18"/>
    </row>
    <row r="75" spans="2:9" x14ac:dyDescent="0.25">
      <c r="B75" s="8" t="s">
        <v>269</v>
      </c>
      <c r="C75" s="9" t="s">
        <v>270</v>
      </c>
      <c r="D75" s="10"/>
      <c r="E75" s="11" t="s">
        <v>271</v>
      </c>
      <c r="F75" s="11"/>
      <c r="G75" s="12">
        <v>5</v>
      </c>
      <c r="H75" s="11"/>
      <c r="I75" s="11"/>
    </row>
    <row r="76" spans="2:9" ht="69.75" customHeight="1" x14ac:dyDescent="0.25">
      <c r="B76" s="13">
        <v>58</v>
      </c>
      <c r="C76" s="14" t="s">
        <v>272</v>
      </c>
      <c r="D76" s="17" t="s">
        <v>273</v>
      </c>
      <c r="E76" s="18"/>
      <c r="F76" s="29">
        <f>H74</f>
        <v>46435</v>
      </c>
      <c r="G76" s="18">
        <v>5</v>
      </c>
      <c r="H76" s="29">
        <f t="shared" si="0"/>
        <v>46440</v>
      </c>
      <c r="I76" s="18"/>
    </row>
    <row r="77" spans="2:9" ht="27.6" x14ac:dyDescent="0.25">
      <c r="B77" s="8" t="s">
        <v>274</v>
      </c>
      <c r="C77" s="9" t="s">
        <v>275</v>
      </c>
      <c r="D77" s="10"/>
      <c r="E77" s="11" t="s">
        <v>276</v>
      </c>
      <c r="F77" s="11"/>
      <c r="G77" s="12">
        <f>SUM(G78:G79)</f>
        <v>20</v>
      </c>
      <c r="H77" s="11"/>
      <c r="I77" s="11"/>
    </row>
    <row r="78" spans="2:9" ht="60" customHeight="1" x14ac:dyDescent="0.25">
      <c r="B78" s="13">
        <v>59</v>
      </c>
      <c r="C78" s="14" t="s">
        <v>277</v>
      </c>
      <c r="D78" s="17" t="s">
        <v>278</v>
      </c>
      <c r="E78" s="18"/>
      <c r="F78" s="18"/>
      <c r="G78" s="18">
        <v>10</v>
      </c>
      <c r="H78" s="18"/>
      <c r="I78" s="18"/>
    </row>
    <row r="79" spans="2:9" ht="49.5" customHeight="1" x14ac:dyDescent="0.25">
      <c r="B79" s="13">
        <v>60</v>
      </c>
      <c r="C79" s="14" t="s">
        <v>279</v>
      </c>
      <c r="D79" s="17" t="s">
        <v>280</v>
      </c>
      <c r="E79" s="18"/>
      <c r="F79" s="18"/>
      <c r="G79" s="18">
        <v>10</v>
      </c>
      <c r="H79" s="18"/>
      <c r="I79" s="18"/>
    </row>
    <row r="80" spans="2:9" ht="34.5" customHeight="1" x14ac:dyDescent="0.25">
      <c r="B80" s="8" t="s">
        <v>281</v>
      </c>
      <c r="C80" s="9" t="s">
        <v>282</v>
      </c>
      <c r="D80" s="10"/>
      <c r="E80" s="11" t="s">
        <v>283</v>
      </c>
      <c r="F80" s="11"/>
      <c r="G80" s="12">
        <f>SUM(G81:G84)</f>
        <v>60</v>
      </c>
      <c r="H80" s="11"/>
      <c r="I80" s="11"/>
    </row>
    <row r="81" spans="2:9" ht="31.5" customHeight="1" x14ac:dyDescent="0.25">
      <c r="B81" s="13">
        <v>61</v>
      </c>
      <c r="C81" s="14" t="s">
        <v>284</v>
      </c>
      <c r="D81" s="17" t="s">
        <v>285</v>
      </c>
      <c r="E81" s="18"/>
      <c r="F81" s="18"/>
      <c r="G81" s="18">
        <v>30</v>
      </c>
      <c r="H81" s="18"/>
      <c r="I81" s="18"/>
    </row>
    <row r="82" spans="2:9" ht="54.75" customHeight="1" x14ac:dyDescent="0.25">
      <c r="B82" s="13">
        <v>62</v>
      </c>
      <c r="C82" s="14" t="s">
        <v>286</v>
      </c>
      <c r="D82" s="17" t="s">
        <v>287</v>
      </c>
      <c r="E82" s="18"/>
      <c r="F82" s="18"/>
      <c r="G82" s="18">
        <v>20</v>
      </c>
      <c r="H82" s="18"/>
      <c r="I82" s="18"/>
    </row>
    <row r="83" spans="2:9" ht="31.5" customHeight="1" x14ac:dyDescent="0.25">
      <c r="B83" s="13">
        <v>63</v>
      </c>
      <c r="C83" s="14" t="s">
        <v>288</v>
      </c>
      <c r="D83" s="17" t="s">
        <v>289</v>
      </c>
      <c r="E83" s="18"/>
      <c r="F83" s="18"/>
      <c r="G83" s="18">
        <v>5</v>
      </c>
      <c r="H83" s="18"/>
      <c r="I83" s="18"/>
    </row>
    <row r="84" spans="2:9" ht="55.5" customHeight="1" x14ac:dyDescent="0.25">
      <c r="B84" s="13">
        <v>64</v>
      </c>
      <c r="C84" s="14" t="s">
        <v>290</v>
      </c>
      <c r="D84" s="17" t="s">
        <v>291</v>
      </c>
      <c r="E84" s="18"/>
      <c r="F84" s="18"/>
      <c r="G84" s="18">
        <v>5</v>
      </c>
      <c r="H84" s="18"/>
      <c r="I84" s="18"/>
    </row>
    <row r="85" spans="2:9" ht="34.5" customHeight="1" x14ac:dyDescent="0.25">
      <c r="B85" s="8" t="s">
        <v>292</v>
      </c>
      <c r="C85" s="9" t="s">
        <v>293</v>
      </c>
      <c r="D85" s="10"/>
      <c r="E85" s="11"/>
      <c r="F85" s="11"/>
      <c r="G85" s="12">
        <f>SUM(G86:G87)</f>
        <v>42</v>
      </c>
      <c r="H85" s="11"/>
      <c r="I85" s="11"/>
    </row>
    <row r="86" spans="2:9" ht="51.75" customHeight="1" x14ac:dyDescent="0.25">
      <c r="B86" s="13">
        <v>65</v>
      </c>
      <c r="C86" s="14" t="s">
        <v>294</v>
      </c>
      <c r="D86" s="17" t="s">
        <v>295</v>
      </c>
      <c r="E86" s="18"/>
      <c r="F86" s="18"/>
      <c r="G86" s="18">
        <v>30</v>
      </c>
      <c r="H86" s="18"/>
      <c r="I86" s="18"/>
    </row>
    <row r="87" spans="2:9" ht="54.75" customHeight="1" x14ac:dyDescent="0.25">
      <c r="B87" s="13">
        <v>66</v>
      </c>
      <c r="C87" s="14" t="s">
        <v>293</v>
      </c>
      <c r="D87" s="17" t="s">
        <v>296</v>
      </c>
      <c r="E87" s="18"/>
      <c r="F87" s="18"/>
      <c r="G87" s="18">
        <v>12</v>
      </c>
      <c r="H87" s="18"/>
      <c r="I87" s="18"/>
    </row>
    <row r="88" spans="2:9" ht="21" customHeight="1" x14ac:dyDescent="0.25">
      <c r="B88" s="5" t="s">
        <v>297</v>
      </c>
      <c r="C88" s="6" t="s">
        <v>298</v>
      </c>
      <c r="D88" s="7"/>
      <c r="E88" s="7"/>
      <c r="F88" s="7"/>
      <c r="G88" s="7"/>
      <c r="H88" s="7"/>
      <c r="I88" s="7"/>
    </row>
    <row r="89" spans="2:9" ht="34.5" customHeight="1" x14ac:dyDescent="0.25">
      <c r="B89" s="8" t="s">
        <v>299</v>
      </c>
      <c r="C89" s="9" t="s">
        <v>300</v>
      </c>
      <c r="D89" s="10"/>
      <c r="E89" s="11"/>
      <c r="F89" s="11"/>
      <c r="G89" s="12">
        <f>SUM(G90:G93)</f>
        <v>78</v>
      </c>
      <c r="H89" s="11"/>
      <c r="I89" s="11"/>
    </row>
    <row r="90" spans="2:9" ht="31.5" customHeight="1" x14ac:dyDescent="0.25">
      <c r="B90" s="13">
        <v>67</v>
      </c>
      <c r="C90" s="14" t="s">
        <v>301</v>
      </c>
      <c r="D90" s="17" t="s">
        <v>302</v>
      </c>
      <c r="E90" s="18"/>
      <c r="F90" s="18"/>
      <c r="G90" s="18">
        <v>30</v>
      </c>
      <c r="H90" s="18"/>
      <c r="I90" s="18"/>
    </row>
    <row r="91" spans="2:9" ht="54.75" customHeight="1" x14ac:dyDescent="0.25">
      <c r="B91" s="13">
        <v>68</v>
      </c>
      <c r="C91" s="14" t="s">
        <v>303</v>
      </c>
      <c r="D91" s="17" t="s">
        <v>304</v>
      </c>
      <c r="E91" s="18"/>
      <c r="F91" s="18"/>
      <c r="G91" s="18">
        <v>30</v>
      </c>
      <c r="H91" s="18"/>
      <c r="I91" s="18"/>
    </row>
    <row r="92" spans="2:9" ht="31.5" customHeight="1" x14ac:dyDescent="0.25">
      <c r="B92" s="13">
        <v>69</v>
      </c>
      <c r="C92" s="14" t="s">
        <v>305</v>
      </c>
      <c r="D92" s="17" t="s">
        <v>306</v>
      </c>
      <c r="E92" s="18" t="s">
        <v>283</v>
      </c>
      <c r="F92" s="18"/>
      <c r="G92" s="18">
        <v>3</v>
      </c>
      <c r="H92" s="18"/>
      <c r="I92" s="18"/>
    </row>
    <row r="93" spans="2:9" ht="54.75" customHeight="1" x14ac:dyDescent="0.25">
      <c r="B93" s="13">
        <v>70</v>
      </c>
      <c r="C93" s="14" t="s">
        <v>307</v>
      </c>
      <c r="D93" s="17" t="s">
        <v>308</v>
      </c>
      <c r="E93" s="18" t="s">
        <v>283</v>
      </c>
      <c r="F93" s="18"/>
      <c r="G93" s="18">
        <v>15</v>
      </c>
      <c r="H93" s="18"/>
      <c r="I93" s="18"/>
    </row>
    <row r="94" spans="2:9" ht="34.5" customHeight="1" x14ac:dyDescent="0.25">
      <c r="B94" s="8" t="s">
        <v>309</v>
      </c>
      <c r="C94" s="9" t="s">
        <v>310</v>
      </c>
      <c r="D94" s="10"/>
      <c r="E94" s="11"/>
      <c r="F94" s="11"/>
      <c r="G94" s="12">
        <v>5</v>
      </c>
      <c r="H94" s="11"/>
      <c r="I94" s="11"/>
    </row>
    <row r="95" spans="2:9" ht="31.5" customHeight="1" x14ac:dyDescent="0.25">
      <c r="B95" s="13">
        <v>71</v>
      </c>
      <c r="C95" s="14" t="s">
        <v>311</v>
      </c>
      <c r="D95" s="17" t="s">
        <v>312</v>
      </c>
      <c r="E95" s="18"/>
      <c r="F95" s="18"/>
      <c r="G95" s="18">
        <v>5</v>
      </c>
      <c r="H95" s="18"/>
      <c r="I95" s="18"/>
    </row>
  </sheetData>
  <protectedRanges>
    <protectedRange sqref="C2:I2" name="Range1_2_1_1"/>
  </protectedRanges>
  <pageMargins left="0.7" right="0.7" top="0.75" bottom="0.75" header="0.3" footer="0.3"/>
  <pageSetup paperSize="9" orientation="portrait"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b82c2b-dbde-45f3-93a5-010e612f21b4">
      <Terms xmlns="http://schemas.microsoft.com/office/infopath/2007/PartnerControls"/>
    </lcf76f155ced4ddcb4097134ff3c332f>
    <TaxCatchAll xmlns="a7a9d9bb-bafe-4896-8717-114e8709d28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5CBEF04376F549A249BAC11890F49C" ma:contentTypeVersion="14" ma:contentTypeDescription="Create a new document." ma:contentTypeScope="" ma:versionID="f55a1a906c300f6073d54f0eb0ab5f32">
  <xsd:schema xmlns:xsd="http://www.w3.org/2001/XMLSchema" xmlns:xs="http://www.w3.org/2001/XMLSchema" xmlns:p="http://schemas.microsoft.com/office/2006/metadata/properties" xmlns:ns2="7bb82c2b-dbde-45f3-93a5-010e612f21b4" xmlns:ns3="a7a9d9bb-bafe-4896-8717-114e8709d281" targetNamespace="http://schemas.microsoft.com/office/2006/metadata/properties" ma:root="true" ma:fieldsID="7e1353f8456ad35184687a9d9525817c" ns2:_="" ns3:_="">
    <xsd:import namespace="7bb82c2b-dbde-45f3-93a5-010e612f21b4"/>
    <xsd:import namespace="a7a9d9bb-bafe-4896-8717-114e8709d2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b82c2b-dbde-45f3-93a5-010e612f21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9df6b1-9f0e-4b4b-aabb-3289a797e9b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a9d9bb-bafe-4896-8717-114e8709d2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4b86c9-7ad6-4522-be0b-9d1ce477e497}" ma:internalName="TaxCatchAll" ma:showField="CatchAllData" ma:web="a7a9d9bb-bafe-4896-8717-114e8709d2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24F87E-7EF1-4EB1-9E1E-FC2B67EDA385}">
  <ds:schemaRefs>
    <ds:schemaRef ds:uri="http://schemas.microsoft.com/sharepoint/v3/contenttype/forms"/>
  </ds:schemaRefs>
</ds:datastoreItem>
</file>

<file path=customXml/itemProps2.xml><?xml version="1.0" encoding="utf-8"?>
<ds:datastoreItem xmlns:ds="http://schemas.openxmlformats.org/officeDocument/2006/customXml" ds:itemID="{7F649151-8EB1-464C-AD55-31EF610F36F3}">
  <ds:schemaRefs>
    <ds:schemaRef ds:uri="http://schemas.microsoft.com/office/2006/metadata/properties"/>
    <ds:schemaRef ds:uri="http://www.w3.org/2001/XMLSchema-instance"/>
    <ds:schemaRef ds:uri="http://schemas.microsoft.com/office/infopath/2007/PartnerControls"/>
    <ds:schemaRef ds:uri="7bb82c2b-dbde-45f3-93a5-010e612f21b4"/>
    <ds:schemaRef ds:uri="a7a9d9bb-bafe-4896-8717-114e8709d281"/>
  </ds:schemaRefs>
</ds:datastoreItem>
</file>

<file path=customXml/itemProps3.xml><?xml version="1.0" encoding="utf-8"?>
<ds:datastoreItem xmlns:ds="http://schemas.openxmlformats.org/officeDocument/2006/customXml" ds:itemID="{D5881ABD-7587-4F78-8C64-EB602A8F05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b82c2b-dbde-45f3-93a5-010e612f21b4"/>
    <ds:schemaRef ds:uri="a7a9d9bb-bafe-4896-8717-114e8709d281"/>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GPMB</vt:lpstr>
      <vt:lpstr>DTXD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QLDA</dc:creator>
  <cp:keywords/>
  <dc:description/>
  <cp:lastModifiedBy>PHAM MINH TAM</cp:lastModifiedBy>
  <cp:revision>1</cp:revision>
  <dcterms:created xsi:type="dcterms:W3CDTF">2026-07-07T08:15:14Z</dcterms:created>
  <dcterms:modified xsi:type="dcterms:W3CDTF">2026-10-17T17:28:18Z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0x010100445CBEF04376F549A249BAC11890F49C</vt:lpwstr>
  </property>
  <property fmtid="{D5CDD505-2E9C-101B-9397-08002B2CF9AE}" pid="3" name="Order">
    <vt:r8>5349100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